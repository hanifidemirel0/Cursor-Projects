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a7d4b77a7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anlama" sheetId="1" r:id="Rb884fd54a2bc48fe"/>
    <x:sheet xmlns:r="http://schemas.openxmlformats.org/officeDocument/2006/relationships" name="Karşılaştırma" sheetId="2" r:id="R757812b27f9f48ca"/>
    <x:sheet xmlns:r="http://schemas.openxmlformats.org/officeDocument/2006/relationships" name="Kaynaklar" sheetId="3" r:id="R2e84edb4c559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b/>
      <x:sz val="11"/>
      <x:color rgb="FFFFFFFF"/>
      <x:name val="Arial"/>
    </x:font>
    <x:font>
      <x:b/>
      <x:sz val="14"/>
      <x:color rgb="FF172B4D"/>
      <x:name val="Arial"/>
    </x:font>
    <x:font>
      <x:b/>
      <x:sz val="11"/>
      <x:color rgb="FF172B4D"/>
      <x:name val="Arial"/>
    </x:font>
    <x:font>
      <x:sz val="10"/>
      <x:color rgb="FF51647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858"/>
      </x:patternFill>
    </x:fill>
    <x:fill>
      <x:patternFill patternType="solid">
        <x:fgColor rgb="FFFFF3CC"/>
      </x:patternFill>
    </x:fill>
    <x:fill>
      <x:patternFill patternType="solid">
        <x:fgColor rgb="FFF0F3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b346db06b4bc5" /><Relationship Type="http://schemas.openxmlformats.org/officeDocument/2006/relationships/theme" Target="/xl/theme/theme1.xml" Id="R1872efa41c77425d" /><Relationship Type="http://schemas.openxmlformats.org/officeDocument/2006/relationships/sharedStrings" Target="/xl/sharedStrings.xml" Id="R0fd4d06d46ae4196" /><Relationship Type="http://schemas.openxmlformats.org/officeDocument/2006/relationships/worksheet" Target="/xl/worksheets/sheet1.xml" Id="Rb884fd54a2bc48fe" /><Relationship Type="http://schemas.openxmlformats.org/officeDocument/2006/relationships/worksheet" Target="/xl/worksheets/sheet2.xml" Id="R757812b27f9f48ca" /><Relationship Type="http://schemas.openxmlformats.org/officeDocument/2006/relationships/worksheet" Target="/xl/worksheets/sheet3.xml" Id="R2e84edb4c5594a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858"/>
  </x:sheetPr>
  <x:sheetViews>
    <x:sheetView showGridLines="0" workbookViewId="0"/>
  </x:sheetViews>
  <x:sheetFormatPr defaultRowHeight="15"/>
  <x:cols>
    <x:col min="1" max="1" width="3" hidden="0" customWidth="1"/>
    <x:col min="2" max="2" width="49" hidden="0" customWidth="1"/>
    <x:col min="3" max="3" width="11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"/>
      <x:c r="B2" s="3" t="str">
        <x:v>ETL araç değerlendirmesi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10 bölüm: kapsam ve zorunlu koşullar + 8 ağırlıklı ölçüt. Ayrıntılar Karşılaştırma sekmesindedir.</x:v>
      </x:c>
      <x:c r="C3" s="2"/>
      <x:c r="D3" s="2"/>
      <x:c r="E3" s="2"/>
      <x:c r="F3" s="2"/>
      <x:c r="G3" s="2"/>
      <x:c r="H3" s="2"/>
    </x:row>
    <x:row r="4" ht="24" customHeight="1">
      <x:c r="A4" s="2"/>
      <x:c r="B4" s="2" t="str">
        <x:v>Sarı hücreler giriş alanıdır. 0: karşılamıyor · 1: ciddi eksik · 2: kısmen · 3: karşılıyor · 4: iyi · 5: çok iyi</x:v>
      </x:c>
      <x:c r="C4" s="2"/>
      <x:c r="D4" s="2"/>
      <x:c r="E4" s="2"/>
      <x:c r="F4" s="2"/>
      <x:c r="G4" s="2"/>
      <x:c r="H4" s="2"/>
    </x:row>
    <x:row r="5" ht="24" customHeight="1">
      <x:c r="A5" s="2"/>
      <x:c r="B5" s="2" t="str">
        <x:v>Ağırlıklar öneridir; toplam %100 olmalı. Sonuç = Σ(ağırlık × puan) / 5. Boş puan: değerlendirilmedi.</x:v>
      </x:c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40" customHeight="1">
      <x:c r="A7" s="2"/>
      <x:c r="B7" s="7" t="str">
        <x:v>Sonuç</x:v>
      </x:c>
      <x:c r="C7" s="7" t="str"/>
      <x:c r="D7" s="7" t="str">
        <x:v>Informatica
PowerCenter</x:v>
      </x:c>
      <x:c r="E7" s="7" t="str">
        <x:v>Oracle ODI</x:v>
      </x:c>
      <x:c r="F7" s="7" t="str">
        <x:v>dbt Core v1
+ Oracle</x:v>
      </x:c>
      <x:c r="G7" s="7" t="str">
        <x:v>Cloudera
(kurum içi)</x:v>
      </x:c>
      <x:c r="H7" s="7" t="str">
        <x:v>Apache Spark
(kurum içi)</x:v>
      </x:c>
    </x:row>
    <x:row r="8" ht="32" customHeight="1">
      <x:c r="A8" s="2"/>
      <x:c r="B8" s="2" t="str">
        <x:v>Ağırlıklı puan / 100</x:v>
      </x:c>
      <x:c r="C8" s="2"/>
      <x:c r="D8" s="9" t="str">
        <x:f>IF(AND(COUNT($C$13:$C$20)=8,$C$21=100,MIN($C$13:$C$20)&gt;=0,COUNT(D13:D20)=8,MIN(D13:D20)&gt;=0,MAX(D13:D20)&lt;=5,D29&lt;&gt;""),SUMPRODUCT($C$13:$C$20,D13:D20)/5,"")</x:f>
      </x:c>
      <x:c r="E8" s="9" t="str">
        <x:f>IF(AND(COUNT($C$13:$C$20)=8,$C$21=100,MIN($C$13:$C$20)&gt;=0,COUNT(E13:E20)=8,MIN(E13:E20)&gt;=0,MAX(E13:E20)&lt;=5,E29&lt;&gt;""),SUMPRODUCT($C$13:$C$20,E13:E20)/5,"")</x:f>
      </x:c>
      <x:c r="F8" s="9" t="str">
        <x:f>IF(AND(COUNT($C$13:$C$20)=8,$C$21=100,MIN($C$13:$C$20)&gt;=0,COUNT(F13:F20)=8,MIN(F13:F20)&gt;=0,MAX(F13:F20)&lt;=5,F29&lt;&gt;""),SUMPRODUCT($C$13:$C$20,F13:F20)/5,"")</x:f>
      </x:c>
      <x:c r="G8" s="9" t="str">
        <x:f>IF(AND(COUNT($C$13:$C$20)=8,$C$21=100,MIN($C$13:$C$20)&gt;=0,COUNT(G13:G20)=8,MIN(G13:G20)&gt;=0,MAX(G13:G20)&lt;=5,G29&lt;&gt;""),SUMPRODUCT($C$13:$C$20,G13:G20)/5,"")</x:f>
      </x:c>
      <x:c r="H8" s="9" t="str">
        <x:f>IF(AND(COUNT($C$13:$C$20)=8,$C$21=100,MIN($C$13:$C$20)&gt;=0,COUNT(H13:H20)=8,MIN(H13:H20)&gt;=0,MAX(H13:H20)&lt;=5,H29&lt;&gt;""),SUMPRODUCT($C$13:$C$20,H13:H20)/5,"")</x:f>
      </x:c>
    </x:row>
    <x:row r="9" ht="32" customHeight="1">
      <x:c r="A9" s="2"/>
      <x:c r="B9" s="2" t="str">
        <x:v>Değerlendirme durumu</x:v>
      </x:c>
      <x:c r="C9" s="2"/>
      <x:c r="D9" s="10" t="str">
        <x:f>IF(COUNTIFS(D24:D26,"Uygun değil")&gt;0,"Elendi",IF(OR(COUNTIFS(D24:D26,"Uygun")&lt;&gt;3,D30=""),"Koşullar bekliyor",IF(ISNUMBER(D8),"Karşılaştırılabilir","Puan / dayanak eksik")))</x:f>
        <x:v>Koşullar bekliyor</x:v>
      </x:c>
      <x:c r="E9" s="10" t="str">
        <x:f>IF(COUNTIFS(E24:E26,"Uygun değil")&gt;0,"Elendi",IF(OR(COUNTIFS(E24:E26,"Uygun")&lt;&gt;3,E30=""),"Koşullar bekliyor",IF(ISNUMBER(E8),"Karşılaştırılabilir","Puan / dayanak eksik")))</x:f>
        <x:v>Koşullar bekliyor</x:v>
      </x:c>
      <x:c r="F9" s="10" t="str">
        <x:f>IF(COUNTIFS(F24:F26,"Uygun değil")&gt;0,"Elendi",IF(OR(COUNTIFS(F24:F26,"Uygun")&lt;&gt;3,F30=""),"Koşullar bekliyor",IF(ISNUMBER(F8),"Karşılaştırılabilir","Puan / dayanak eksik")))</x:f>
        <x:v>Koşullar bekliyor</x:v>
      </x:c>
      <x:c r="G9" s="10" t="str">
        <x:f>IF(COUNTIFS(G24:G26,"Uygun değil")&gt;0,"Elendi",IF(OR(COUNTIFS(G24:G26,"Uygun")&lt;&gt;3,G30=""),"Koşullar bekliyor",IF(ISNUMBER(G8),"Karşılaştırılabilir","Puan / dayanak eksik")))</x:f>
        <x:v>Koşullar bekliyor</x:v>
      </x:c>
      <x:c r="H9" s="10" t="str">
        <x:f>IF(COUNTIFS(H24:H26,"Uygun değil")&gt;0,"Elendi",IF(OR(COUNTIFS(H24:H26,"Uygun")&lt;&gt;3,H30=""),"Koşullar bekliyor",IF(ISNUMBER(H8),"Karşılaştırılabilir","Puan / dayanak eksik")))</x:f>
        <x:v>Koşullar bekliyor</x:v>
      </x:c>
    </x:row>
    <x:row r="10" ht="32" customHeight="1">
      <x:c r="A10" s="2"/>
      <x:c r="B10" s="2" t="str">
        <x:v>Girilen puan sayısı / 8</x:v>
      </x:c>
      <x:c r="C10" s="2"/>
      <x:c r="D10" s="2" t="n">
        <x:f>COUNT(D13:D20)</x:f>
        <x:v>0</x:v>
      </x:c>
      <x:c r="E10" s="2" t="n">
        <x:f>COUNT(E13:E20)</x:f>
        <x:v>0</x:v>
      </x:c>
      <x:c r="F10" s="2" t="n">
        <x:f>COUNT(F13:F20)</x:f>
        <x:v>0</x:v>
      </x:c>
      <x:c r="G10" s="2" t="n">
        <x:f>COUNT(G13:G20)</x:f>
        <x:v>0</x:v>
      </x:c>
      <x:c r="H10" s="2" t="n">
        <x:f>COUNT(H13:H20)</x:f>
        <x:v>0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40" customHeight="1">
      <x:c r="A12" s="2"/>
      <x:c r="B12" s="7" t="str">
        <x:v>Bölüm / ölçüt</x:v>
      </x:c>
      <x:c r="C12" s="7" t="str">
        <x:v>Ağırlık %</x:v>
      </x:c>
      <x:c r="D12" s="7" t="str">
        <x:v>Informatica
PowerCenter</x:v>
      </x:c>
      <x:c r="E12" s="7" t="str">
        <x:v>Oracle ODI</x:v>
      </x:c>
      <x:c r="F12" s="7" t="str">
        <x:v>dbt Core v1
+ Oracle</x:v>
      </x:c>
      <x:c r="G12" s="7" t="str">
        <x:v>Cloudera
(kurum içi)</x:v>
      </x:c>
      <x:c r="H12" s="7" t="str">
        <x:v>Apache Spark
(kurum içi)</x:v>
      </x:c>
    </x:row>
    <x:row r="13" ht="39" customHeight="1">
      <x:c r="A13" s="2"/>
      <x:c r="B13" s="10" t="str">
        <x:v>03  Kaynak entegrasyonu ve veri hareketi</x:v>
      </x:c>
      <x:c r="C13" s="11" t="n">
        <x:v>11</x:v>
      </x:c>
      <x:c r="D13" s="12"/>
      <x:c r="E13" s="12"/>
      <x:c r="F13" s="12"/>
      <x:c r="G13" s="12"/>
      <x:c r="H13" s="12"/>
    </x:row>
    <x:row r="14" ht="39" customHeight="1">
      <x:c r="A14" s="2"/>
      <x:c r="B14" s="10" t="str">
        <x:v>04  Dönüşüm ve Exadata verimliliği</x:v>
      </x:c>
      <x:c r="C14" s="11" t="n">
        <x:v>13</x:v>
      </x:c>
      <x:c r="D14" s="12"/>
      <x:c r="E14" s="12"/>
      <x:c r="F14" s="12"/>
      <x:c r="G14" s="12"/>
      <x:c r="H14" s="12"/>
    </x:row>
    <x:row r="15" ht="39" customHeight="1">
      <x:c r="A15" s="2"/>
      <x:c r="B15" s="10" t="str">
        <x:v>05  Veri doğruluğu, tarihçe ve mutabakat</x:v>
      </x:c>
      <x:c r="C15" s="11" t="n">
        <x:v>20</x:v>
      </x:c>
      <x:c r="D15" s="12"/>
      <x:c r="E15" s="12"/>
      <x:c r="F15" s="12"/>
      <x:c r="G15" s="12"/>
      <x:c r="H15" s="12"/>
    </x:row>
    <x:row r="16" ht="39" customHeight="1">
      <x:c r="A16" s="2"/>
      <x:c r="B16" s="10" t="str">
        <x:v>06  Zamanlama, operasyonel raporlar ve kurtarma</x:v>
      </x:c>
      <x:c r="C16" s="11" t="n">
        <x:v>12</x:v>
      </x:c>
      <x:c r="D16" s="12"/>
      <x:c r="E16" s="12"/>
      <x:c r="F16" s="12"/>
      <x:c r="G16" s="12"/>
      <x:c r="H16" s="12"/>
    </x:row>
    <x:row r="17" ht="39" customHeight="1">
      <x:c r="A17" s="2"/>
      <x:c r="B17" s="10" t="str">
        <x:v>07  Güvenlik, metaveri ve denetlenebilirlik</x:v>
      </x:c>
      <x:c r="C17" s="11" t="n">
        <x:v>16</x:v>
      </x:c>
      <x:c r="D17" s="12"/>
      <x:c r="E17" s="12"/>
      <x:c r="F17" s="12"/>
      <x:c r="G17" s="12"/>
      <x:c r="H17" s="12"/>
    </x:row>
    <x:row r="18" ht="39" customHeight="1">
      <x:c r="A18" s="2"/>
      <x:c r="B18" s="10" t="str">
        <x:v>08  Geliştirme, test ve değişiklik yönetimi</x:v>
      </x:c>
      <x:c r="C18" s="11" t="n">
        <x:v>7</x:v>
      </x:c>
      <x:c r="D18" s="12"/>
      <x:c r="E18" s="12"/>
      <x:c r="F18" s="12"/>
      <x:c r="G18" s="12"/>
      <x:c r="H18" s="12"/>
    </x:row>
    <x:row r="19" ht="39" customHeight="1">
      <x:c r="A19" s="2"/>
      <x:c r="B19" s="10" t="str">
        <x:v>09  İşletim modeli, destek ve yaşam döngüsü</x:v>
      </x:c>
      <x:c r="C19" s="11" t="n">
        <x:v>11</x:v>
      </x:c>
      <x:c r="D19" s="12"/>
      <x:c r="E19" s="12"/>
      <x:c r="F19" s="12"/>
      <x:c r="G19" s="12"/>
      <x:c r="H19" s="12"/>
    </x:row>
    <x:row r="20" ht="39" customHeight="1">
      <x:c r="A20" s="2"/>
      <x:c r="B20" s="10" t="str">
        <x:v>10  Beş yıllık maliyet ve çıkış eforu</x:v>
      </x:c>
      <x:c r="C20" s="11" t="n">
        <x:v>10</x:v>
      </x:c>
      <x:c r="D20" s="12"/>
      <x:c r="E20" s="12"/>
      <x:c r="F20" s="12"/>
      <x:c r="G20" s="12"/>
      <x:c r="H20" s="12"/>
    </x:row>
    <x:row r="21" ht="24" customHeight="1">
      <x:c r="A21" s="2"/>
      <x:c r="B21" s="2" t="str">
        <x:v>Toplam ağırlık</x:v>
      </x:c>
      <x:c r="C21" s="2" t="n">
        <x:f>SUM(C13:C20)</x:f>
        <x:v>100</x:v>
      </x:c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40" customHeight="1">
      <x:c r="A23" s="2"/>
      <x:c r="B23" s="7" t="str">
        <x:v>02  Zorunlu koşul grupları</x:v>
      </x:c>
      <x:c r="C23" s="7" t="str"/>
      <x:c r="D23" s="7" t="str">
        <x:v>Informatica
PowerCenter</x:v>
      </x:c>
      <x:c r="E23" s="7" t="str">
        <x:v>Oracle ODI</x:v>
      </x:c>
      <x:c r="F23" s="7" t="str">
        <x:v>dbt Core v1
+ Oracle</x:v>
      </x:c>
      <x:c r="G23" s="7" t="str">
        <x:v>Cloudera
(kurum içi)</x:v>
      </x:c>
      <x:c r="H23" s="7" t="str">
        <x:v>Apache Spark
(kurum içi)</x:v>
      </x:c>
    </x:row>
    <x:row r="24" ht="32" customHeight="1">
      <x:c r="A24" s="2"/>
      <x:c r="B24" s="2" t="str">
        <x:v>Tamamen kurum içinde çalışma</x:v>
      </x:c>
      <x:c r="C24" s="2"/>
      <x:c r="D24" s="11" t="str">
        <x:v>Bekliyor</x:v>
      </x:c>
      <x:c r="E24" s="11" t="str">
        <x:v>Bekliyor</x:v>
      </x:c>
      <x:c r="F24" s="11" t="str">
        <x:v>Bekliyor</x:v>
      </x:c>
      <x:c r="G24" s="11" t="str">
        <x:v>Bekliyor</x:v>
      </x:c>
      <x:c r="H24" s="11" t="str">
        <x:v>Bekliyor</x:v>
      </x:c>
    </x:row>
    <x:row r="25" ht="32" customHeight="1">
      <x:c r="A25" s="2"/>
      <x:c r="B25" s="2" t="str">
        <x:v>Güvenlik, destek ve işletim onayı</x:v>
      </x:c>
      <x:c r="C25" s="2"/>
      <x:c r="D25" s="11" t="str">
        <x:v>Bekliyor</x:v>
      </x:c>
      <x:c r="E25" s="11" t="str">
        <x:v>Bekliyor</x:v>
      </x:c>
      <x:c r="F25" s="11" t="str">
        <x:v>Bekliyor</x:v>
      </x:c>
      <x:c r="G25" s="11" t="str">
        <x:v>Bekliyor</x:v>
      </x:c>
      <x:c r="H25" s="11" t="str">
        <x:v>Bekliyor</x:v>
      </x:c>
    </x:row>
    <x:row r="26" ht="32" customHeight="1">
      <x:c r="A26" s="2"/>
      <x:c r="B26" s="2" t="str">
        <x:v>Doğruluk, süre ve kurtarma testleri</x:v>
      </x:c>
      <x:c r="C26" s="2"/>
      <x:c r="D26" s="11" t="str">
        <x:v>Bekliyor</x:v>
      </x:c>
      <x:c r="E26" s="11" t="str">
        <x:v>Bekliyor</x:v>
      </x:c>
      <x:c r="F26" s="11" t="str">
        <x:v>Bekliyor</x:v>
      </x:c>
      <x:c r="G26" s="11" t="str">
        <x:v>Bekliyor</x:v>
      </x:c>
      <x:c r="H26" s="11" t="str">
        <x:v>Bekliyor</x:v>
      </x:c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13" t="str">
        <x:v>Dayanak kayıtları</x:v>
      </x:c>
      <x:c r="C28" s="2"/>
      <x:c r="D28" s="2"/>
      <x:c r="E28" s="2"/>
      <x:c r="F28" s="2"/>
      <x:c r="G28" s="2"/>
      <x:c r="H28" s="2"/>
    </x:row>
    <x:row r="29" ht="46" customHeight="1">
      <x:c r="A29" s="2"/>
      <x:c r="B29" s="2" t="str">
        <x:v>8 puanın gerekçesi / test / maliyet kaydı</x:v>
      </x:c>
      <x:c r="C29" s="2"/>
      <x:c r="D29" s="14"/>
      <x:c r="E29" s="14"/>
      <x:c r="F29" s="14"/>
      <x:c r="G29" s="14"/>
      <x:c r="H29" s="14"/>
    </x:row>
    <x:row r="30" ht="46" customHeight="1">
      <x:c r="A30" s="2"/>
      <x:c r="B30" s="2" t="str">
        <x:v>Koşul onayları: kayıt no / kişi / tarih</x:v>
      </x:c>
      <x:c r="C30" s="2"/>
      <x:c r="D30" s="14"/>
      <x:c r="E30" s="14"/>
      <x:c r="F30" s="14"/>
      <x:c r="G30" s="14"/>
      <x:c r="H30" s="14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 t="str">
        <x:v>Her araç için tek dayanak kaydı: 8 ölçütün sonucu, test referansları ve aynı kapsamda 5 yıllık maliyet.</x:v>
      </x:c>
      <x:c r="C32" s="2"/>
      <x:c r="D32" s="2"/>
      <x:c r="E32" s="2"/>
      <x:c r="F32" s="2"/>
      <x:c r="G32" s="2"/>
      <x:c r="H32" s="2"/>
    </x:row>
    <x:row r="33" ht="24" customHeight="1">
      <x:c r="A33" s="2"/>
      <x:c r="B33" s="2" t="str">
        <x:v>Bir koşul uygun değilse araç elenir. Koşullar ve puanlar tamamlanınca karşılaştırılır; bu, üretim onayı değildir.</x:v>
      </x:c>
      <x:c r="C33" s="2"/>
      <x:c r="D33" s="2"/>
      <x:c r="E33" s="2"/>
      <x:c r="F33" s="2"/>
      <x:c r="G33" s="2"/>
      <x:c r="H33" s="2"/>
    </x:row>
    <x:row r="34" ht="24" customHeight="1">
      <x:c r="A34" s="2"/>
      <x:c r="B34" s="2" t="str">
        <x:v>Kayıt içeriğini Excel doğrulamaz. Kurum içi şartı çalıştırma, yönetim, metaveri ve logların tamamını kapsar.</x:v>
      </x:c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 t="str">
        <x:v>Ağırlıklar ilk 12 ölçütten türetildi: 03=C02+C10; 04=C01; 05=C03+C04; 06=C05;</x:v>
      </x:c>
      <x:c r="C36" s="2"/>
      <x:c r="D36" s="2"/>
      <x:c r="E36" s="2"/>
      <x:c r="F36" s="2"/>
      <x:c r="G36" s="2"/>
      <x:c r="H36" s="2"/>
    </x:row>
    <x:row r="37" ht="24" customHeight="1">
      <x:c r="A37" s="2"/>
      <x:c r="B37" s="2" t="str">
        <x:v>07=C06+C07; 08=C08; 09=C09+C11; 10=C12. Bölüm 01 ve 02 ağırlıklı toplamın dışında kalır.</x:v>
      </x:c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</x:sheetData>
  <x:conditionalFormatting sqref="C21:C21">
    <x:cfRule type="expression" dxfId="0" priority="1">
      <x:formula>C21&lt;&gt;100</x:formula>
    </x:cfRule>
  </x:conditionalFormatting>
  <x:conditionalFormatting sqref="D24:H26">
    <x:cfRule type="cellIs" dxfId="1" priority="2" operator="equal">
      <x:formula>"Uygun değil"</x:formula>
    </x:cfRule>
  </x:conditionalFormatting>
  <x:conditionalFormatting sqref="D9:H9">
    <x:cfRule type="cellIs" dxfId="2" priority="3" operator="equal">
      <x:formula>"Elendi"</x:formula>
    </x:cfRule>
  </x:conditionalFormatting>
  <x:dataValidations count="3">
    <x:dataValidation type="decimal" operator="between" sqref="D13:H20">
      <x:formula1>0</x:formula1>
      <x:formula2>5</x:formula2>
    </x:dataValidation>
    <x:dataValidation type="whole" operator="between" sqref="C13:C20">
      <x:formula1>0</x:formula1>
      <x:formula2>100</x:formula2>
    </x:dataValidation>
    <x:dataValidation type="list" sqref="D24:H26">
      <x:formula1>"Bekliyor,Uygun,Uygun değil"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RowHeight="15"/>
  <x:cols>
    <x:col min="1" max="1" width="3" hidden="0" customWidth="1"/>
    <x:col min="2" max="2" width="25" hidden="0" customWidth="1"/>
    <x:col min="3" max="3" width="39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0" customHeight="1">
      <x:c r="A2" s="2"/>
      <x:c r="B2" s="3" t="str">
        <x:v>Beş çözümün ayrıntılı karşılaştırması</x:v>
      </x:c>
      <x:c r="C2" s="2"/>
      <x:c r="D2" s="2"/>
      <x:c r="E2" s="2"/>
      <x:c r="F2" s="2"/>
      <x:c r="G2" s="2"/>
    </x:row>
    <x:row r="3" ht="24" customHeight="1">
      <x:c r="A3" s="2"/>
      <x:c r="B3" s="2" t="str">
        <x:v>Ürün açıklamaları belgelerden; banka etkileri mimari yorumdur. Ek bileşenler dahil varsayılmaz.</x:v>
      </x:c>
      <x:c r="C3" s="2"/>
      <x:c r="D3" s="2"/>
      <x:c r="E3" s="2"/>
      <x:c r="F3" s="2"/>
      <x:c r="G3" s="2"/>
    </x:row>
    <x:row r="4" ht="24" customHeight="1">
      <x:c r="A4" s="2"/>
      <x:c r="B4" s="2" t="str">
        <x:v>12.10.2026 • Kaynak kodları Kaynaklar sekmesinde. Kesin sürüm, lisans, fiyat ve kabul sonucu henüz teyit edilmedi.</x:v>
      </x:c>
      <x:c r="C4" s="2"/>
      <x:c r="D4" s="2"/>
      <x:c r="E4" s="2"/>
      <x:c r="F4" s="2"/>
      <x:c r="G4" s="2"/>
    </x:row>
    <x:row r="5" ht="24" customHeight="1">
      <x:c r="A5" s="2"/>
      <x:c r="B5" s="2"/>
      <x:c r="C5" s="2"/>
      <x:c r="D5" s="2"/>
      <x:c r="E5" s="2"/>
      <x:c r="F5" s="2"/>
      <x:c r="G5" s="2"/>
    </x:row>
    <x:row r="6" ht="29" customHeight="1">
      <x:c r="A6" s="2"/>
      <x:c r="B6" s="15" t="str">
        <x:v>01  Çözüm kapsamı ve mimari  — puan dışı</x:v>
      </x:c>
      <x:c r="C6" s="2"/>
      <x:c r="D6" s="2"/>
      <x:c r="E6" s="2"/>
      <x:c r="F6" s="2"/>
      <x:c r="G6" s="2"/>
    </x:row>
    <x:row r="7" ht="27" customHeight="1">
      <x:c r="A7" s="2"/>
      <x:c r="B7" s="2" t="str">
        <x:v>Aynı hedef: Oracle Exadata üzerinde veri ambarı ve kontrollü rapor çıktısı. Hedef değişikliği ayrı mimari karardır.</x:v>
      </x:c>
      <x:c r="C7" s="2"/>
      <x:c r="D7" s="2"/>
      <x:c r="E7" s="2"/>
      <x:c r="F7" s="2"/>
      <x:c r="G7" s="2"/>
    </x:row>
    <x:row r="8" ht="40" customHeight="1">
      <x:c r="A8" s="2"/>
      <x:c r="B8" s="7" t="str">
        <x:v>Karşılaştırma boyutu</x:v>
      </x:c>
      <x:c r="C8" s="7" t="str">
        <x:v>Informatica
PowerCenter</x:v>
      </x:c>
      <x:c r="D8" s="7" t="str">
        <x:v>Oracle ODI</x:v>
      </x:c>
      <x:c r="E8" s="7" t="str">
        <x:v>dbt Core v1
+ Oracle</x:v>
      </x:c>
      <x:c r="F8" s="7" t="str">
        <x:v>Cloudera
(kurum içi)</x:v>
      </x:c>
      <x:c r="G8" s="7" t="str">
        <x:v>Apache Spark
(kurum içi)</x:v>
      </x:c>
    </x:row>
    <x:row r="9" ht="85" customHeight="1">
      <x:c r="A9" s="2"/>
      <x:c r="B9" s="17" t="str">
        <x:v>Yaklaşım</x:v>
      </x:c>
      <x:c r="C9" s="16" t="str">
        <x:v>Yerel PowerCenter deposu ve Integration Service; görsel eşlemeler ve iş akışları. Dönüşüm motoru ile veritabanına aktarılan SQL birlikte değerlendirilir.</x:v>
      </x:c>
      <x:c r="D9" s="16" t="str">
        <x:v>Depolar, çalışma ajanı ve Knowledge Module (KM) bileşenleri. Ajanın yönettiği kod kaynak/hedef sistemlerde çalışır; işlem yeri eşleme tasarımına bağlıdır.</x:v>
      </x:c>
      <x:c r="E9" s="16" t="str">
        <x:v>Yerel dbt Core v1 çalıştırıcısı SQL modellerini Oracle adaptörüyle yürütür. Karşılaştırılan kapsam SQL dönüşümüdür; veri alımı ayrı çözülür.</x:v>
      </x:c>
      <x:c r="F9" s="16" t="str">
        <x:v>Kesin sürümü ve servisleri seçilmiş kurum içi platform. Base içindeki Spark ve veri servisleri, küme yönetimiyle birlikte ele alınır.</x:v>
      </x:c>
      <x:c r="G9" s="16" t="str">
        <x:v>Driver ve executor süreçlerinden oluşan işleme motoru. Küme yöneticisi, depolama ve diğer hizmetler seçilerek tam çözüm oluşturulur.</x:v>
      </x:c>
    </x:row>
    <x:row r="10" ht="85" customHeight="1">
      <x:c r="A10" s="2"/>
      <x:c r="B10" s="17" t="str">
        <x:v>Ek bileşen / sınır</x:v>
      </x:c>
      <x:c r="C10" s="16" t="str">
        <x:v>Gerekli bağlayıcılar, CDC, katalog, kalite ürünleri ve HA/DR kalemleri tek tek listelenmeli. Informatica portföyünün tamamı dahil sayılmaz.</x:v>
      </x:c>
      <x:c r="D10" s="16" t="str">
        <x:v>JDBC sürücüleri, ajan türü, depo veritabanları, ilgili middleware ve CDC listelenmeli. GoldenGate lisansı varsayılmaz.</x:v>
      </x:c>
      <x:c r="E10" s="16" t="str">
        <x:v>Veri alımı/CDC, zamanlayıcı, Git/CI, paket deposu, gizli bilgi yönetimi, izleme ve destek. dbt platformunun bulut hizmetleri bu adayın parçası değildir.</x:v>
      </x:c>
      <x:c r="F10" s="16" t="str">
        <x:v>Depolama, güvenlik, katalog, alım akışları ve Oracle’a dönüş yolu. NiFi/Flow Management veya Data Services seçilirse ayrıca kapsamlandırılır.</x:v>
      </x:c>
      <x:c r="G10" s="16" t="str">
        <x:v>Veri alımı/CDC, zamanlayıcı, katalog, kalite, güvenlik, metrik/log, yedekleme ve destek. Bunların hiçbiri yalnızca Spark adından çıkarılamaz.</x:v>
      </x:c>
    </x:row>
    <x:row r="11" ht="85" customHeight="1">
      <x:c r="A11" s="2"/>
      <x:c r="B11" s="17" t="str">
        <x:v>Banka açısından (yorum)</x:v>
      </x:c>
      <x:c r="C11" s="16" t="str">
        <x:v>Entegrasyon hizmetlerini tek ürün ailesinde toplama olasılığı var. Bunun kaç ayrı ürün, lisans ve uzmanlık gerektirdiği teklif üzerinde görülmeli.</x:v>
      </x:c>
      <x:c r="D11" s="16" t="str">
        <x:v>Oracle ağırlıklı hedefle doğrudan karşılaştırılabilecek bir mimari. Ajan sunucusu küçük olsa bile Oracle’daki işlem maliyeti hesaba katılmalı.</x:v>
      </x:c>
      <x:c r="E11" s="16" t="str">
        <x:v>Mevcut Oracle SQL becerilerinden yararlanabilecek seçenek. Eksik alım ve işletim hizmetleri geliştirme ekibine görünmeyen iş olarak bırakılmamalı.</x:v>
      </x:c>
      <x:c r="F11" s="16" t="str">
        <x:v>Ek dağıtık depolama/işleme ihtiyacı için gerekçelendirilir. Yalnızca ETL değişimi için yeni platform kurmanın getirisi ayrıca gösterilmeli.</x:v>
      </x:c>
      <x:c r="G11" s="16" t="str">
        <x:v>Mimari esneklik sağlar; bileşen seçimi ve bütünleşik hizmetin sorumluluğu belirlenmeli. Küme işletimi ile veri mühendisliği birlikte değerlendirilir.</x:v>
      </x:c>
    </x:row>
    <x:row r="12" ht="85" customHeight="1">
      <x:c r="A12" s="2"/>
      <x:c r="B12" s="17" t="str">
        <x:v>İstenecek kanıt</x:v>
      </x:c>
      <x:c r="C12" s="16" t="str">
        <x:v>Tamamen yerel ürün teklifi, bileşen/lisans listesi, veri akış çizimi ve destek kapsamı.</x:v>
      </x:c>
      <x:c r="D12" s="16" t="str">
        <x:v>Ajan/depo/KM listesi, fiziksel işlem yerleri, lisans ve kaynak/hedef bağlantı çizimi.</x:v>
      </x:c>
      <x:c r="E12" s="16" t="str">
        <x:v>Core, adaptör, Python, sürücü ve Oracle sürümleri; veri alımından rapora kadar bileşen ve sorumlu listesi.</x:v>
      </x:c>
      <x:c r="F12" s="16" t="str">
        <x:v>Base/Data Services/Flow Management kapsamı, düğümler, veri kopyaları ve Oracle’a yayın tasarımı.</x:v>
      </x:c>
      <x:c r="G12" s="16" t="str">
        <x:v>Her bileşenin sürümü, sahibi ve destekçisi; üretim/test/DR topolojisi ve uçtan uca sorumluluk anlaşması.</x:v>
      </x:c>
    </x:row>
    <x:row r="13" ht="33" customHeight="1">
      <x:c r="A13" s="2"/>
      <x:c r="B13" s="19" t="str">
        <x:v>Kaynak kodları</x:v>
      </x:c>
      <x:c r="C13" s="19" t="str">
        <x:v>I1, I2, I3</x:v>
      </x:c>
      <x:c r="D13" s="19" t="str">
        <x:v>O1</x:v>
      </x:c>
      <x:c r="E13" s="19" t="str">
        <x:v>D1, D4</x:v>
      </x:c>
      <x:c r="F13" s="19" t="str">
        <x:v>C1, C3</x:v>
      </x:c>
      <x:c r="G13" s="19" t="str">
        <x:v>S1, S3</x:v>
      </x:c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9" customHeight="1">
      <x:c r="A15" s="2"/>
      <x:c r="B15" s="15" t="str">
        <x:v>02  Zorunlu koşullar  — puan dışı</x:v>
      </x:c>
      <x:c r="C15" s="2"/>
      <x:c r="D15" s="2"/>
      <x:c r="E15" s="2"/>
      <x:c r="F15" s="2"/>
      <x:c r="G15" s="2"/>
    </x:row>
    <x:row r="16" ht="27" customHeight="1">
      <x:c r="A16" s="2"/>
      <x:c r="B16" s="2" t="str">
        <x:v>Çalıştırma, yönetim, metaveri ve loglar kurum içinde kalmalı. Belge uyumu, banka kabul testi yerine geçmez.</x:v>
      </x:c>
      <x:c r="C16" s="2"/>
      <x:c r="D16" s="2"/>
      <x:c r="E16" s="2"/>
      <x:c r="F16" s="2"/>
      <x:c r="G16" s="2"/>
    </x:row>
    <x:row r="17" ht="40" customHeight="1">
      <x:c r="A17" s="2"/>
      <x:c r="B17" s="7" t="str">
        <x:v>Karşılaştırma boyutu</x:v>
      </x:c>
      <x:c r="C17" s="7" t="str">
        <x:v>Informatica
PowerCenter</x:v>
      </x:c>
      <x:c r="D17" s="7" t="str">
        <x:v>Oracle ODI</x:v>
      </x:c>
      <x:c r="E17" s="7" t="str">
        <x:v>dbt Core v1
+ Oracle</x:v>
      </x:c>
      <x:c r="F17" s="7" t="str">
        <x:v>Cloudera
(kurum içi)</x:v>
      </x:c>
      <x:c r="G17" s="7" t="str">
        <x:v>Apache Spark
(kurum içi)</x:v>
      </x:c>
    </x:row>
    <x:row r="18" ht="85" customHeight="1">
      <x:c r="A18" s="2"/>
      <x:c r="B18" s="17" t="str">
        <x:v>Yerellik sınırı</x:v>
      </x:c>
      <x:c r="C18" s="16" t="str">
        <x:v>Sadece tamamen yerel PowerCenter teklifi değerlendirilir. IDMC’ye bağlı CDI-PC yönetimi bu sınırı karşılamaz.</x:v>
      </x:c>
      <x:c r="D18" s="16" t="str">
        <x:v>Depolar, ajanlar, yönetim istemcileri ve bağlı servisler kurum içinde konumlandırılmalı.</x:v>
      </x:c>
      <x:c r="E18" s="16" t="str">
        <x:v>Yerel Core v1 ve bağımlılıklar seçilmeli. Kullanım istatistikleri, paket indirme, doküman yayınlama ve CI erişimleri incelenmeli.</x:v>
      </x:c>
      <x:c r="F18" s="16" t="str">
        <x:v>Seçilen yerel sürümün tüm servisleri incelenmeli. Air-gap kurulum belgesi, isteğe bağlı her servisin yerel kaldığının kanıtı değildir.</x:v>
      </x:c>
      <x:c r="G18" s="16" t="str">
        <x:v>Motorun yanı sıra küme, zamanlayıcı, katalog, log ve izleme bileşenlerinin dış bağlantıları incelenmeli.</x:v>
      </x:c>
    </x:row>
    <x:row r="19" ht="85" customHeight="1">
      <x:c r="A19" s="2"/>
      <x:c r="B19" s="17" t="str">
        <x:v>Güvenlik / destek / ekip</x:v>
      </x:c>
      <x:c r="C19" s="16" t="str">
        <x:v>Yazılı destek ve yerel ürün yol haritası, en az yetki, sır yönetimi ve destek paketi gönderimi için prosedür istenir.</x:v>
      </x:c>
      <x:c r="D19" s="16" t="str">
        <x:v>Kesin sürüm desteği, depo/ajan yönetimi, erişim ayrımı ve DBA/ETL ekipleri arasında sorumluluk onayı istenir.</x:v>
      </x:c>
      <x:c r="E19" s="16" t="str">
        <x:v>Adaptörün Oracle tarafından sürdürülmesi, sözleşmeli destek taahhüdü sayılmaz. Tam bileşen seti için kabul edilebilir destek yolu istenir.</x:v>
      </x:c>
      <x:c r="F19" s="16" t="str">
        <x:v>Dağıtım kapsamındaki servislerin desteği, güvenlik yapılandırması, küme ekibi ve nöbet/escalation sorumluluğu istenir.</x:v>
      </x:c>
      <x:c r="G19" s="16" t="str">
        <x:v>Her açık kaynak bileşeni için güvenlik bakımı, yükseltme ve olay desteği sahibi istenir. Banka veya hizmet sağlayıcı bu sorumluluğu üstlenmeli.</x:v>
      </x:c>
    </x:row>
    <x:row r="20" ht="85" customHeight="1">
      <x:c r="A20" s="2"/>
      <x:c r="B20" s="17" t="str">
        <x:v>Teslimat koşulları</x:v>
      </x:c>
      <x:c r="C20" s="16" t="str">
        <x:v>Doğruluk, kaynak yükü, süre, kurtarma ve kontrollü yayın banka verisiyle kabul edilir. Lisanslı kurtarma özelliği tek başına kabul değildir.</x:v>
      </x:c>
      <x:c r="D20" s="16" t="str">
        <x:v>İşlem/commit sınırları dahil doğruluk ve tekrar çalışma kanıtlanır. Aynı raporun kısmen güncellenmiş veri görmesi önlenir.</x:v>
      </x:c>
      <x:c r="E20" s="16" t="str">
        <x:v>Başarılı dbt çalışması yanında veri alımı, test, yayın ve kurtarma zinciri kabul edilir. Dönüşüm aracının başarısı tüm hizmetin başarısı sayılmaz.</x:v>
      </x:c>
      <x:c r="F20" s="16" t="str">
        <x:v>Küme ve Oracle hedef birlikte test edilir. Platformun çalışıyor olması veri aktarımı ve rapor tesliminin doğru olduğunu kanıtlamaz.</x:v>
      </x:c>
      <x:c r="G20" s="16" t="str">
        <x:v>Kaynak, checkpoint/ara veri, hedef yazımı ve yeniden çalışma birlikte test edilir. Görev tekrarı mükerrer yayın üretmemeli.</x:v>
      </x:c>
    </x:row>
    <x:row r="21" ht="85" customHeight="1">
      <x:c r="A21" s="2"/>
      <x:c r="B21" s="17" t="str">
        <x:v>Kabul kanıtı</x:v>
      </x:c>
      <x:c r="C21" s="16" t="str">
        <x:v>Dış ağ erişimi kapalı kurulum/çalışma/kurtarma, ağ kayıtları, yazılı destek ve iş/güvenlik/hizmet sahibi onayları.</x:v>
      </x:c>
      <x:c r="D21" s="16" t="str">
        <x:v>Dış ağ erişimi kapalı çalışma, kaynak yük testi, depo/ajan kurtarma ve ilgili iş/güvenlik/hizmet onayları.</x:v>
      </x:c>
      <x:c r="E21" s="16" t="str">
        <x:v>Telemetri ve bağımlılık erişim kontrolü, yerel paketlerle yeniden kurulum, Oracle uyum testi ve yazılı hizmet kabulü.</x:v>
      </x:c>
      <x:c r="F21" s="16" t="str">
        <x:v>Kesin ürün paketiyle çevrimdışı çalışma, servis bağımlılık listesi, güvenlik ve veri teslimi testleri.</x:v>
      </x:c>
      <x:c r="G21" s="16" t="str">
        <x:v>Tüm bileşenlerle dış erişim testi, güvenlik incelemesi, yeniden kurulum ve kayıpsız/mükerrersiz teslimat kanıtı.</x:v>
      </x:c>
    </x:row>
    <x:row r="22" ht="33" customHeight="1">
      <x:c r="A22" s="2"/>
      <x:c r="B22" s="19" t="str">
        <x:v>Kaynak kodları</x:v>
      </x:c>
      <x:c r="C22" s="19" t="str">
        <x:v>I3, I2</x:v>
      </x:c>
      <x:c r="D22" s="19" t="str">
        <x:v>O1, O2</x:v>
      </x:c>
      <x:c r="E22" s="19" t="str">
        <x:v>D1, D5</x:v>
      </x:c>
      <x:c r="F22" s="19" t="str">
        <x:v>C1, C2</x:v>
      </x:c>
      <x:c r="G22" s="19" t="str">
        <x:v>S2, S3</x:v>
      </x:c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9" customHeight="1">
      <x:c r="A24" s="2"/>
      <x:c r="B24" s="15" t="str">
        <x:v>03  Kaynak entegrasyonu ve veri hareketi</x:v>
      </x:c>
      <x:c r="C24" s="2"/>
      <x:c r="D24" s="2"/>
      <x:c r="E24" s="2"/>
      <x:c r="F24" s="2"/>
      <x:c r="G24" s="2"/>
    </x:row>
    <x:row r="25" ht="27" customHeight="1">
      <x:c r="A25" s="2"/>
      <x:c r="B25" s="2" t="str">
        <x:v>Oracle, dosya ve gerekli API akışlarında tutarlı başlangıç yükü, değişiklik yakalama ve kaynak koruması.</x:v>
      </x:c>
      <x:c r="C25" s="2"/>
      <x:c r="D25" s="2"/>
      <x:c r="E25" s="2"/>
      <x:c r="F25" s="2"/>
      <x:c r="G25" s="2"/>
    </x:row>
    <x:row r="26" ht="40" customHeight="1">
      <x:c r="A26" s="2"/>
      <x:c r="B26" s="7" t="str">
        <x:v>Karşılaştırma boyutu</x:v>
      </x:c>
      <x:c r="C26" s="7" t="str">
        <x:v>Informatica
PowerCenter</x:v>
      </x:c>
      <x:c r="D26" s="7" t="str">
        <x:v>Oracle ODI</x:v>
      </x:c>
      <x:c r="E26" s="7" t="str">
        <x:v>dbt Core v1
+ Oracle</x:v>
      </x:c>
      <x:c r="F26" s="7" t="str">
        <x:v>Cloudera
(kurum içi)</x:v>
      </x:c>
      <x:c r="G26" s="7" t="str">
        <x:v>Apache Spark
(kurum içi)</x:v>
      </x:c>
    </x:row>
    <x:row r="27" ht="85" customHeight="1">
      <x:c r="A27" s="2"/>
      <x:c r="B27" s="17" t="str">
        <x:v>Yaklaşım</x:v>
      </x:c>
      <x:c r="C27" s="16" t="str">
        <x:v>Bağlayıcılarla alım ve hedef yükleme tasarlanır. Kaynak/hedef ve veri tipi uyumu sunulan bağlayıcı sürümünde doğrulanır.</x:v>
      </x:c>
      <x:c r="D27" s="16" t="str">
        <x:v>LKM veri taşıma, JKM değişiklik yakalama stratejisini belirler. Seçilen KM’nin kaynak ve hedefe etkisi incelenir.</x:v>
      </x:c>
      <x:c r="E27" s="16" t="str">
        <x:v>Kaynak verinin önce Oracle’da erişilebilir hale gelmesi gerekir. Incremental model, kaynak sistemde CDC yapan bileşen yerine geçmez.</x:v>
      </x:c>
      <x:c r="F27" s="16" t="str">
        <x:v>Platforma alım için seçilen bağlayıcı/akış hizmeti kullanılır. NiFi önerilirse Flow Management kapsamı ayrıca gösterilir.</x:v>
      </x:c>
      <x:c r="G27" s="16" t="str">
        <x:v>JDBC ve dosya okuma/yazma yolları var. Oracle log tabanlı CDC ve API alımı için ayrıca bileşen veya uygulama gerekir.</x:v>
      </x:c>
    </x:row>
    <x:row r="28" ht="85" customHeight="1">
      <x:c r="A28" s="2"/>
      <x:c r="B28" s="17" t="str">
        <x:v>Ek bileşen / sınır</x:v>
      </x:c>
      <x:c r="C28" s="16" t="str">
        <x:v>PowerExchange veya başka CDC yolu gerekiyorsa lisansı, ajanı, log erişimi ve yeniden başlatma konumu ayrıca belirlenir.</x:v>
      </x:c>
      <x:c r="D28" s="16" t="str">
        <x:v>CDC’nin trigger, journal veya log tabanlı yolu kesinleştirilir. GoldenGate kullanımı ve kaynak lisansları ayrı tekliflenir.</x:v>
      </x:c>
      <x:c r="E28" s="16" t="str">
        <x:v>Alım servisi; değişiklik sırası, silmeler, tekrarlar ve schema değişiklikleri için sözleşme sağlar. Küçük seed dosyaları genel alım hizmeti sayılmaz.</x:v>
      </x:c>
      <x:c r="F28" s="16" t="str">
        <x:v>Kaynak yakalama, mesaj/ara depolama, şema yönetimi ve Exadata yükleme dahil edilir. Kümede ikinci kopyanın saklama maliyeti hesaplanır.</x:v>
      </x:c>
      <x:c r="G28" s="16" t="str">
        <x:v>Paralel JDBC bağlantı sayısı kontrol edilir. Partition sınırları değişiklik filtresi değildir; artımlı veri seçimi ayrıca uygulanır.</x:v>
      </x:c>
    </x:row>
    <x:row r="29" ht="85" customHeight="1">
      <x:c r="A29" s="2"/>
      <x:c r="B29" s="17" t="str">
        <x:v>Banka açısından (yorum)</x:v>
      </x:c>
      <x:c r="C29" s="16" t="str">
        <x:v>Çeşitli kaynaklar için paketlenmiş entegrasyon değerlidir; yalnızca bankanın gereken bağlayıcıları için puan verilir.</x:v>
      </x:c>
      <x:c r="D29" s="16" t="str">
        <x:v>Oracle kaynak/hedef akışları için bir başlangıç noktasıdır. Kaynakta ek nesne veya yük yaratan yakalama yöntemleri DBA onayı gerektirir.</x:v>
      </x:c>
      <x:c r="E29" s="16" t="str">
        <x:v>Alım katmanı zaten güvenilir ise dönüşüm kapsamını sadeleştirebilir. Alım yeni kurulacaksa maliyeti dbt teklifinden ayrı tutulup unutulmamalı.</x:v>
      </x:c>
      <x:c r="F29" s="16" t="str">
        <x:v>Dosya ve daha geniş veri türleri için platform gerekçesi olabilir. Oracle’dan çıkış ve Oracle’a geri dönüş süresi hesaba katılır.</x:v>
      </x:c>
      <x:c r="G29" s="16" t="str">
        <x:v>Paralelliği artırmak KALE üzerindeki bağlantı/yük sınırını aşabilir. Ortak tutarlılık noktası olmadan paralel okuma iş mutabakatını bozabilir.</x:v>
      </x:c>
    </x:row>
    <x:row r="30" ht="85" customHeight="1">
      <x:c r="A30" s="2"/>
      <x:c r="B30" s="17" t="str">
        <x:v>Ortak testte göster</x:v>
      </x:c>
      <x:c r="C30" s="16" t="str">
        <x:v>İlk yük + insert/update/delete + kaynak kesintisi + aynı dosyanın ikinci kez gelişi. Kaynak CPU/IO, satır/tutar ve tekrarları ölç.</x:v>
      </x:c>
      <x:c r="D30" s="16" t="str">
        <x:v>İlk yükle değişiklik akışının birleşimini, kaynak izinlerini ve kayıp olmadan yeniden başlamayı göster. KM/sürücü ayarlarını kaydet.</x:v>
      </x:c>
      <x:c r="E30" s="16" t="str">
        <x:v>Alım ürününden dbt’ye veri hazır sinyalini, silme/geç olay bilgisini ve kaynak şema değişikliğinde zincirin davranışını göster.</x:v>
      </x:c>
      <x:c r="F30" s="16" t="str">
        <x:v>Alımdan küme üzerinden Oracle hedefe kadar aynı kayıtları izle. Sıra, tekrar, bağlantı kesintisi ve dosya karantinasını test et.</x:v>
      </x:c>
      <x:c r="G30" s="16" t="str">
        <x:v>Bağlantı sınırı, okuma tutarlılığı, tarih filtresi, batch yazımı ve başarısız partition tekrarını test et.</x:v>
      </x:c>
    </x:row>
    <x:row r="31" ht="33" customHeight="1">
      <x:c r="A31" s="2"/>
      <x:c r="B31" s="19" t="str">
        <x:v>Kaynak kodları</x:v>
      </x:c>
      <x:c r="C31" s="19" t="str">
        <x:v>I1; mimari gereksinim</x:v>
      </x:c>
      <x:c r="D31" s="19" t="str">
        <x:v>O1</x:v>
      </x:c>
      <x:c r="E31" s="19" t="str">
        <x:v>D1, D2</x:v>
      </x:c>
      <x:c r="F31" s="19" t="str">
        <x:v>C3</x:v>
      </x:c>
      <x:c r="G31" s="19" t="str">
        <x:v>S1</x:v>
      </x:c>
    </x:row>
    <x:row r="32" ht="24" customHeight="1">
      <x:c r="A32" s="2"/>
      <x:c r="B32" s="2"/>
      <x:c r="C32" s="2"/>
      <x:c r="D32" s="2"/>
      <x:c r="E32" s="2"/>
      <x:c r="F32" s="2"/>
      <x:c r="G32" s="2"/>
    </x:row>
    <x:row r="33" ht="29" customHeight="1">
      <x:c r="A33" s="2"/>
      <x:c r="B33" s="15" t="str">
        <x:v>04  Dönüşüm ve Exadata verimliliği</x:v>
      </x:c>
      <x:c r="C33" s="2"/>
      <x:c r="D33" s="2"/>
      <x:c r="E33" s="2"/>
      <x:c r="F33" s="2"/>
      <x:c r="G33" s="2"/>
    </x:row>
    <x:row r="34" ht="27" customHeight="1">
      <x:c r="A34" s="2"/>
      <x:c r="B34" s="2" t="str">
        <x:v>Toplam alım + taşıma + dönüşüm + kontrol + yayın süresi; eşzamanlı rapor yüküyle kaynak tüketimi.</x:v>
      </x:c>
      <x:c r="C34" s="2"/>
      <x:c r="D34" s="2"/>
      <x:c r="E34" s="2"/>
      <x:c r="F34" s="2"/>
      <x:c r="G34" s="2"/>
    </x:row>
    <x:row r="35" ht="40" customHeight="1">
      <x:c r="A35" s="2"/>
      <x:c r="B35" s="7" t="str">
        <x:v>Karşılaştırma boyutu</x:v>
      </x:c>
      <x:c r="C35" s="7" t="str">
        <x:v>Informatica
PowerCenter</x:v>
      </x:c>
      <x:c r="D35" s="7" t="str">
        <x:v>Oracle ODI</x:v>
      </x:c>
      <x:c r="E35" s="7" t="str">
        <x:v>dbt Core v1
+ Oracle</x:v>
      </x:c>
      <x:c r="F35" s="7" t="str">
        <x:v>Cloudera
(kurum içi)</x:v>
      </x:c>
      <x:c r="G35" s="7" t="str">
        <x:v>Apache Spark
(kurum içi)</x:v>
      </x:c>
    </x:row>
    <x:row r="36" ht="85" customHeight="1">
      <x:c r="A36" s="2"/>
      <x:c r="B36" s="17" t="str">
        <x:v>Yaklaşım</x:v>
      </x:c>
      <x:c r="C36" s="16" t="str">
        <x:v>Dönüşümler Integration Service üzerinde veya desteklenen durumda veritabanında çalışır. Pushdown kapsamı eşleme ve fonksiyona bağlıdır.</x:v>
      </x:c>
      <x:c r="D36" s="16" t="str">
        <x:v>KM’ler kaynak/hedef sistemlerde yürütülecek kodu üretir. Oracle dönüşümleri için üretilen SQL ve fiziksel eşleme tasarımı incelenir.</x:v>
      </x:c>
      <x:c r="E36" s="16" t="str">
        <x:v>SQL modelleri Oracle’da yürür. Derleme ve bağımlılık sırası yerel çalıştırıcıdadır; hesaplama kapasitesi Oracle’dan gelir.</x:v>
      </x:c>
      <x:c r="F36" s="16" t="str">
        <x:v>Seçilen Spark/SQL motoruyla kümede işlem yapılabilir. Exadata hedef korunuyorsa veri çıkarma ve geri yükleme de işlem yoludur.</x:v>
      </x:c>
      <x:c r="G36" s="16" t="str">
        <x:v>DataFrame/SQL işlemleri kümede yürür. JDBC üzerinden bazı işlemler kaynağa aktarılabilir; tüm işin Oracle’a aktarılması varsayılmaz.</x:v>
      </x:c>
    </x:row>
    <x:row r="37" ht="85" customHeight="1">
      <x:c r="A37" s="2"/>
      <x:c r="B37" s="17" t="str">
        <x:v>Ek bileşen / sınır</x:v>
      </x:c>
      <x:c r="C37" s="16" t="str">
        <x:v>Motor donanımı, ağ hareketi ve hedef SQL birlikte ölçülür. Pushdown dışı dönüşümün ek taşıması ve değişen davranışı test edilir.</x:v>
      </x:c>
      <x:c r="D37" s="16" t="str">
        <x:v>DBA ayarı, staging alanı, geçici alan ve paralellik politikası gerekir. Marka uyumu daha az kaynak tüketiminin kanıtı değildir.</x:v>
      </x:c>
      <x:c r="E37" s="16" t="str">
        <x:v>Adaptörün materialization seçenekleri ve ürettiği SQL test edilir. Oracle sayfasında ephemeral desteklenmiyor; bulut Python özelliği yerel Exadata’ya taşınmış sayılmaz.</x:v>
      </x:c>
      <x:c r="F37" s="16" t="str">
        <x:v>Küme kuyruğu, executor kaynakları, shuffle/depolama ve Oracle yükleme yöntemi seçilir. Base ile opsiyonel servis sınırları açık tutulur.</x:v>
      </x:c>
      <x:c r="G37" s="16" t="str">
        <x:v>JDBC okuma/yazma paralelliği, driver belleği, shuffle ve hedef commit tasarımı ayarlanır. Kullanılan Spark sürümünün yetenekleri esas alınır.</x:v>
      </x:c>
    </x:row>
    <x:row r="38" ht="85" customHeight="1">
      <x:c r="A38" s="2"/>
      <x:c r="B38" s="17" t="str">
        <x:v>Banka açısından (yorum)</x:v>
      </x:c>
      <x:c r="C38" s="16" t="str">
        <x:v>Görsel tasarımın veritabanı kaynaklarına etkisi izlenebilir olmalı. Küçük bir pushdown farkı büyük hacimde veri hareketini değiştirebilir.</x:v>
      </x:c>
      <x:c r="D38" s="16" t="str">
        <x:v>Mevcut SQL/PLSQL karşılaştırma tabanı ile yan yana ölçülebilir. İşlerin hedefte çalışması rapor sorgularıyla rekabet yaratabilir.</x:v>
      </x:c>
      <x:c r="E38" s="16" t="str">
        <x:v>SQL incelemesi ve tuning banka ekibi tarafından yapılabilir. Test/kaynak tüketimi ve eşzamanlı model sayısı planlanmalı.</x:v>
      </x:c>
      <x:c r="F38" s="16" t="str">
        <x:v>Dağıtık hesaplama ancak ek veri hareketini ve küme maliyetini karşılayan ölçülmüş fayda varsa avantaj sayılır.</x:v>
      </x:c>
      <x:c r="G38" s="16" t="str">
        <x:v>Dağıtık işlem ihtiyacı gösterilmeli. Oracle’da yapılabilecek join/aggregate işini dışarı taşımak başlı başına fayda değildir.</x:v>
      </x:c>
    </x:row>
    <x:row r="39" ht="85" customHeight="1">
      <x:c r="A39" s="2"/>
      <x:c r="B39" s="17" t="str">
        <x:v>Ortak testte göster</x:v>
      </x:c>
      <x:c r="C39" s="16" t="str">
        <x:v>Aynı eşlemeyi desteklenen pushdown seçenekleriyle karşılaştır. Plan, satır sayısı, CPU/IO, ağ ve uçtan uca süreyi kaydet.</x:v>
      </x:c>
      <x:c r="D39" s="16" t="str">
        <x:v>Üretilen SQL’i optimize edilmiş SQL tabanıyla kıyasla. Paralel işler ve MicroStrategy sorguları altında bitiş süresini ölç.</x:v>
      </x:c>
      <x:c r="E39" s="16" t="str">
        <x:v>Incremental ve full-refresh planlarını ölç. Geçmiş düzeltme hacmi ve eşzamanlı model sayısı arttığında Oracle yükünü kaydet.</x:v>
      </x:c>
      <x:c r="F39" s="16" t="str">
        <x:v>Aynı işin küme dönüşümü kadar çıkarma/yükleme süresini de ölç. Tam üretim kaynak zarfını ve kuyruk beklemesini kaydet.</x:v>
      </x:c>
      <x:c r="G39" s="16" t="str">
        <x:v>Farklı JDBC/executor ayarlarında kaynak ve hedef yükünü ölç. En hızlı ayarın banka kaynak sınırına uyduğunu kanıtla.</x:v>
      </x:c>
    </x:row>
    <x:row r="40" ht="33" customHeight="1">
      <x:c r="A40" s="2"/>
      <x:c r="B40" s="19" t="str">
        <x:v>Kaynak kodları</x:v>
      </x:c>
      <x:c r="C40" s="19" t="str">
        <x:v>I1</x:v>
      </x:c>
      <x:c r="D40" s="19" t="str">
        <x:v>O1</x:v>
      </x:c>
      <x:c r="E40" s="19" t="str">
        <x:v>D1, D2</x:v>
      </x:c>
      <x:c r="F40" s="19" t="str">
        <x:v>C1, S1</x:v>
      </x:c>
      <x:c r="G40" s="19" t="str">
        <x:v>S1</x:v>
      </x:c>
    </x:row>
    <x:row r="41" ht="24" customHeight="1">
      <x:c r="A41" s="2"/>
      <x:c r="B41" s="2"/>
      <x:c r="C41" s="2"/>
      <x:c r="D41" s="2"/>
      <x:c r="E41" s="2"/>
      <x:c r="F41" s="2"/>
      <x:c r="G41" s="2"/>
    </x:row>
    <x:row r="42" ht="29" customHeight="1">
      <x:c r="A42" s="2"/>
      <x:c r="B42" s="15" t="str">
        <x:v>05  Veri doğruluğu, tarihçe ve mutabakat</x:v>
      </x:c>
      <x:c r="C42" s="2"/>
      <x:c r="D42" s="2"/>
      <x:c r="E42" s="2"/>
      <x:c r="F42" s="2"/>
      <x:c r="G42" s="2"/>
    </x:row>
    <x:row r="43" ht="27" customHeight="1">
      <x:c r="A43" s="2"/>
      <x:c r="B43" s="2" t="str">
        <x:v>Başarılı job yerine doğru iş sonucu: tarihçe, geç düzeltme, silme, tutar ve kontrollü yeniden yayın.</x:v>
      </x:c>
      <x:c r="C43" s="2"/>
      <x:c r="D43" s="2"/>
      <x:c r="E43" s="2"/>
      <x:c r="F43" s="2"/>
      <x:c r="G43" s="2"/>
    </x:row>
    <x:row r="44" ht="40" customHeight="1">
      <x:c r="A44" s="2"/>
      <x:c r="B44" s="7" t="str">
        <x:v>Karşılaştırma boyutu</x:v>
      </x:c>
      <x:c r="C44" s="7" t="str">
        <x:v>Informatica
PowerCenter</x:v>
      </x:c>
      <x:c r="D44" s="7" t="str">
        <x:v>Oracle ODI</x:v>
      </x:c>
      <x:c r="E44" s="7" t="str">
        <x:v>dbt Core v1
+ Oracle</x:v>
      </x:c>
      <x:c r="F44" s="7" t="str">
        <x:v>Cloudera
(kurum içi)</x:v>
      </x:c>
      <x:c r="G44" s="7" t="str">
        <x:v>Apache Spark
(kurum içi)</x:v>
      </x:c>
    </x:row>
    <x:row r="45" ht="85" customHeight="1">
      <x:c r="A45" s="2"/>
      <x:c r="B45" s="17" t="str">
        <x:v>Yaklaşım</x:v>
      </x:c>
      <x:c r="C45" s="16" t="str">
        <x:v>Eşleme kuralları ve hedef yükleme stratejisi ile doğruluk uygulanır. İş mutabakatı ve tarihçe politikası bankanın tanımladığı kurallardır.</x:v>
      </x:c>
      <x:c r="D45" s="16" t="str">
        <x:v>IKM stratejileri insert/update ve tarihçe tasarımında kullanılır. CKM kontrolleri seçilebilir; iş mutabakat kuralları ayrıca tanımlanır.</x:v>
      </x:c>
      <x:c r="E45" s="16" t="str">
        <x:v>Incremental filtre ve anahtar tasarımı geliştiriciye aittir. Veri testleri SQL tabanlı kontroller sağlar; tarihçe/düzeltme kuralları modele eklenir.</x:v>
      </x:c>
      <x:c r="F45" s="16" t="str">
        <x:v>Doğruluk seçilen motor, tablo formatı ve yayın tasarımına bağlıdır. Platform adı geçmiş düzeltmelerin doğru işlendiğini garanti etmez.</x:v>
      </x:c>
      <x:c r="G45" s="16" t="str">
        <x:v>Dönüşüm kodu ve hedef protokolü doğruluğu belirler. Streaming checkpoint’i Oracle’a tekil iş sonucu yayınlama kanıtı değildir.</x:v>
      </x:c>
    </x:row>
    <x:row r="46" ht="85" customHeight="1">
      <x:c r="A46" s="2"/>
      <x:c r="B46" s="17" t="str">
        <x:v>Ek bileşen / sınır</x:v>
      </x:c>
      <x:c r="C46" s="16" t="str">
        <x:v>Gelişmiş kalite/katalog ürünü teklife dahilse kapsamını ayır. Hatalı kayıt karantinası, iş kontrol tablosu ve yayın kilidi tasarla.</x:v>
      </x:c>
      <x:c r="D46" s="16" t="str">
        <x:v>KM özelleştirmeleri, commit sınırları ve hata tabloları yönetilmeli. SCD seçeneği tüm geriye dönük iş düzeltmelerini otomatik çözmez.</x:v>
      </x:c>
      <x:c r="E46" s="16" t="str">
        <x:v>Anahtar testleri, geç veri penceresi ve silme davranışı adaptörde doğrulanmalı. Snapshot, çalıştırmalar arasında kaçırılan her değişikliğin kaydı değildir.</x:v>
      </x:c>
      <x:c r="F46" s="16" t="str">
        <x:v>Tablo formatının işlem garantisi ile Oracle’a aktarım garantisini ayır. İki ortamda sayım/tutar karşılaştırması ve yük kimliği gerekir.</x:v>
      </x:c>
      <x:c r="G46" s="16" t="str">
        <x:v>Idempotent hedef yazımı, tekrar kimliği, transaction/commit sınırları ve kalite kuralları kodlanmalı veya ayrı çerçeveyle sağlanmalı.</x:v>
      </x:c>
    </x:row>
    <x:row r="47" ht="85" customHeight="1">
      <x:c r="A47" s="2"/>
      <x:c r="B47" s="17" t="str">
        <x:v>Banka açısından (yorum)</x:v>
      </x:c>
      <x:c r="C47" s="16" t="str">
        <x:v>Görsel kontrol adımları denetlenebilir olmalı; sessizce atlanan kayıtlar ve başarısızlıkta devam seçenekleri özellikle incelenir.</x:v>
      </x:c>
      <x:c r="D47" s="16" t="str">
        <x:v>SQL ile mutabakat kuralları yakın tutulabilir. Tekrar çalıştırma aynı iş tarihine ait eski/yeni sonuçların karışmasına yol açmamalı.</x:v>
      </x:c>
      <x:c r="E47" s="16" t="str">
        <x:v>Model testleri geliştirme sürecine bağlanabilir. Başarısız testin yayını durdurması ayrıca orkestrasyon sözleşmesi olmalı.</x:v>
      </x:c>
      <x:c r="F47" s="16" t="str">
        <x:v>Küme içi sonuç ile rapor hedefi arasındaki fark ek mutabakat yükü yaratır. İş sonucu en son yayın noktasında kabul edilir.</x:v>
      </x:c>
      <x:c r="G47" s="16" t="str">
        <x:v>Esneklik özel doğruluk kodu ve kapsamlı test ihtiyacını artırabilir. Teknik at-least-once davranış işte mükerrer sonuç oluşturmamalı.</x:v>
      </x:c>
    </x:row>
    <x:row r="48" ht="85" customHeight="1">
      <x:c r="A48" s="2"/>
      <x:c r="B48" s="17" t="str">
        <x:v>Ortak testte göster</x:v>
      </x:c>
      <x:c r="C48" s="16" t="str">
        <x:v>Aynı iş gününü iki kez yükle; silme ve geçmiş düzeltme ekle; reject üret. Kayıt/tutar ve rapor sürümlerini iş sahibine doğrulat.</x:v>
      </x:c>
      <x:c r="D48" s="16" t="str">
        <x:v>Insert/update/delete, SCD, geç düzeltme ve yarım commit sonrası tekrar çalışmayı göster. Orijinal ve düzeltilmiş raporu izlenebilir tut.</x:v>
      </x:c>
      <x:c r="E48" s="16" t="str">
        <x:v>Unique key ihlali, boş anahtar, geç veri, full-refresh ve şema değişikliği uygula. Test hatasının tüketiciye yayın yapmadığını göster.</x:v>
      </x:c>
      <x:c r="F48" s="16" t="str">
        <x:v>Küme tablosu ve Oracle hedefi farklı anda kes. Sonrasında aynı iş tarihinin kayıt/tutarlarını ve tekil yayınını doğrula.</x:v>
      </x:c>
      <x:c r="G48" s="16" t="str">
        <x:v>Yazımın ortasında executor/driver kesintisi yarat. Yeniden başlatmada kayıp veya mükerrer iş anahtarı oluşmadığını göster.</x:v>
      </x:c>
    </x:row>
    <x:row r="49" ht="33" customHeight="1">
      <x:c r="A49" s="2"/>
      <x:c r="B49" s="19" t="str">
        <x:v>Kaynak kodları</x:v>
      </x:c>
      <x:c r="C49" s="19" t="str">
        <x:v>I1, I2; iş tasarımı</x:v>
      </x:c>
      <x:c r="D49" s="19" t="str">
        <x:v>O1, O2</x:v>
      </x:c>
      <x:c r="E49" s="19" t="str">
        <x:v>D2, D3</x:v>
      </x:c>
      <x:c r="F49" s="19" t="str">
        <x:v>C1; iş tasarımı</x:v>
      </x:c>
      <x:c r="G49" s="19" t="str">
        <x:v>S1, S2</x:v>
      </x:c>
    </x:row>
    <x:row r="50" ht="24" customHeight="1">
      <x:c r="A50" s="2"/>
      <x:c r="B50" s="2"/>
      <x:c r="C50" s="2"/>
      <x:c r="D50" s="2"/>
      <x:c r="E50" s="2"/>
      <x:c r="F50" s="2"/>
      <x:c r="G50" s="2"/>
    </x:row>
    <x:row r="51" ht="29" customHeight="1">
      <x:c r="A51" s="2"/>
      <x:c r="B51" s="15" t="str">
        <x:v>06  Zamanlama, operasyonel raporlar ve kurtarma</x:v>
      </x:c>
      <x:c r="C51" s="2"/>
      <x:c r="D51" s="2"/>
      <x:c r="E51" s="2"/>
      <x:c r="F51" s="2"/>
      <x:c r="G51" s="2"/>
    </x:row>
    <x:row r="52" ht="27" customHeight="1">
      <x:c r="A52" s="2"/>
      <x:c r="B52" s="2" t="str">
        <x:v>İş tarihi ve gün sonu sinyali, batch/intraday teslim, yeniden çalışma ve raporun eksik veri görmemesi.</x:v>
      </x:c>
      <x:c r="C52" s="2"/>
      <x:c r="D52" s="2"/>
      <x:c r="E52" s="2"/>
      <x:c r="F52" s="2"/>
      <x:c r="G52" s="2"/>
    </x:row>
    <x:row r="53" ht="40" customHeight="1">
      <x:c r="A53" s="2"/>
      <x:c r="B53" s="7" t="str">
        <x:v>Karşılaştırma boyutu</x:v>
      </x:c>
      <x:c r="C53" s="7" t="str">
        <x:v>Informatica
PowerCenter</x:v>
      </x:c>
      <x:c r="D53" s="7" t="str">
        <x:v>Oracle ODI</x:v>
      </x:c>
      <x:c r="E53" s="7" t="str">
        <x:v>dbt Core v1
+ Oracle</x:v>
      </x:c>
      <x:c r="F53" s="7" t="str">
        <x:v>Cloudera
(kurum içi)</x:v>
      </x:c>
      <x:c r="G53" s="7" t="str">
        <x:v>Apache Spark
(kurum içi)</x:v>
      </x:c>
    </x:row>
    <x:row r="54" ht="85" customHeight="1">
      <x:c r="A54" s="2"/>
      <x:c r="B54" s="17" t="str">
        <x:v>Yaklaşım</x:v>
      </x:c>
      <x:c r="C54" s="16" t="str">
        <x:v>Workflow/session ve yapılandırılan kurtarma stratejileri kullanılır. Kesintiden devam davranışı göreve ve lisanslı kabiliyete bağlıdır.</x:v>
      </x:c>
      <x:c r="D54" s="16" t="str">
        <x:v>Load Plan seri/paralel/koşullu adımlar ve restart davranışı sunar. Ajanın veya dış zamanlayıcının çalıştırması mümkündür.</x:v>
      </x:c>
      <x:c r="E54" s="16" t="str">
        <x:v>Core çalıştırıcısı dış zamanlayıcıdan çağrılır. Model bağımlılıkları, kurumsal takvim ve tüm alım/yayın sürecinin zamanlamasını tek başına kapsamaz.</x:v>
      </x:c>
      <x:c r="F54" s="16" t="str">
        <x:v>Seçilen servisle iş zamanlanır; Base/Oozie veya ek servis kapsamı sürüme göre belirlenir. Küme yöneticisi ile iş takvimi ayrı sorumluluklardır.</x:v>
      </x:c>
      <x:c r="G54" s="16" t="str">
        <x:v>spark-submit iş başlatma arayüzüdür. İş günü takvimi, zincirler, uyarı ve tekrar politikası için orkestrasyon gerekir.</x:v>
      </x:c>
    </x:row>
    <x:row r="55" ht="85" customHeight="1">
      <x:c r="A55" s="2"/>
      <x:c r="B55" s="17" t="str">
        <x:v>Ek bileşen / sınır</x:v>
      </x:c>
      <x:c r="C55" s="16" t="str">
        <x:v>Kurum zamanlayıcısı entegrasyonu, paylaşılan kurtarma durumu, hedef iş kontrolü ve rapor yayın mekanizması gerekir.</x:v>
      </x:c>
      <x:c r="D55" s="16" t="str">
        <x:v>Load Plan restart noktası commit durumuyla uyumlu seçilmeli. Depo, ajan ve hedefteki veri birlikte kurtarılmalı.</x:v>
      </x:c>
      <x:c r="E55" s="16" t="str">
        <x:v>Yerel orkestrasyon; iş tarihi, timeout, retry, alım hazır sinyali, test ve yayın adımlarını yönetmeli. Kod geri dönüşü veri geri dönüşünü tek başına sağlamaz.</x:v>
      </x:c>
      <x:c r="F55" s="16" t="str">
        <x:v>Zamanlayıcı, küme servisleri, ara veri ve Oracle teslim adımı için birleşik izleme ve DR planı gerekir.</x:v>
      </x:c>
      <x:c r="G55" s="16" t="str">
        <x:v>Checkpoint dayanıklılığı, yeniden başlatma, hedef transaction ve backlog işleme tasarlanmalı. Sürekli akan işlerin kesintisi batch’ten farklı ele alınmalı.</x:v>
      </x:c>
    </x:row>
    <x:row r="56" ht="85" customHeight="1">
      <x:c r="A56" s="2"/>
      <x:c r="B56" s="17" t="str">
        <x:v>Banka açısından (yorum)</x:v>
      </x:c>
      <x:c r="C56" s="16" t="str">
        <x:v>Merkezi workflow izleme yararlı olabilir; farklı bileşenlerin hata mesajları tek hizmet olayına bağlanmalı.</x:v>
      </x:c>
      <x:c r="D56" s="16" t="str">
        <x:v>İş akışı durumunu banka zamanlayıcısıyla tutarlı tutmak gerekir. Kaynak hazır olmadan saatte tetikleme yanlış iş tarihini yükleyebilir.</x:v>
      </x:c>
      <x:c r="E56" s="16" t="str">
        <x:v>Dönüşümün basit CLI olması entegrasyonu kolaylaştırabilir; işletim özelliklerinin dış araçlarda tamamlanma maliyeti görünür olmalı.</x:v>
      </x:c>
      <x:c r="F56" s="16" t="str">
        <x:v>Kaynak, küme ve Oracle olmak üzere daha fazla arıza noktası işletilir. Teslim SLA’sı hepsini kapsamalı.</x:v>
      </x:c>
      <x:c r="G56" s="16" t="str">
        <x:v>İşin tekrar başlaması ile raporun doğru/süresinde yayınlanması ayrı kabul noktalarıdır. Teknik görev retry’sine iş retry’si anlamı yüklenmemeli.</x:v>
      </x:c>
    </x:row>
    <x:row r="57" ht="85" customHeight="1">
      <x:c r="A57" s="2"/>
      <x:c r="B57" s="17" t="str">
        <x:v>Ortak testte göster</x:v>
      </x:c>
      <x:c r="C57" s="16" t="str">
        <x:v>Geç gün sonu sinyali, takvim istisnası ve hedef kesintisi uygula. Operatör müdahalesi, uyarı ve doğru yayın zamanını ölç.</x:v>
      </x:c>
      <x:c r="D57" s="16" t="str">
        <x:v>Automic kullanımı teyit edilirse Load Plan çağrısı/durum aktarımını göster. Depo/ajan kesintisinde doğru task ve iş tarihinden devam et.</x:v>
      </x:c>
      <x:c r="E57" s="16" t="str">
        <x:v>Zamanlayıcıdan alım→dbt→test→yayın zincirini çalıştır. Aynı iş için ikinci tetiklemeyi, timeout ve yeniden çalışmayı göster.</x:v>
      </x:c>
      <x:c r="F57" s="16" t="str">
        <x:v>Kuyruk doluluğu ve servis kesintisinde kritik operasyonel raporun önceliğini göster. DR sonrası Oracle teslimini tamamla.</x:v>
      </x:c>
      <x:c r="G57" s="16" t="str">
        <x:v>Checkpoint kaybı/driver kesintisi ve gecikme birikimini test et. RPO/RTO, mükerrerlik ve rapor hazır sinyalini birlikte ölç.</x:v>
      </x:c>
    </x:row>
    <x:row r="58" ht="33" customHeight="1">
      <x:c r="A58" s="2"/>
      <x:c r="B58" s="19" t="str">
        <x:v>Kaynak kodları</x:v>
      </x:c>
      <x:c r="C58" s="19" t="str">
        <x:v>I2</x:v>
      </x:c>
      <x:c r="D58" s="19" t="str">
        <x:v>O2</x:v>
      </x:c>
      <x:c r="E58" s="19" t="str">
        <x:v>D2, D3; hizmet tasarımı</x:v>
      </x:c>
      <x:c r="F58" s="19" t="str">
        <x:v>C1</x:v>
      </x:c>
      <x:c r="G58" s="19" t="str">
        <x:v>S2, S4</x:v>
      </x:c>
    </x:row>
    <x:row r="59" ht="24" customHeight="1">
      <x:c r="A59" s="2"/>
      <x:c r="B59" s="2"/>
      <x:c r="C59" s="2"/>
      <x:c r="D59" s="2"/>
      <x:c r="E59" s="2"/>
      <x:c r="F59" s="2"/>
      <x:c r="G59" s="2"/>
    </x:row>
    <x:row r="60" ht="29" customHeight="1">
      <x:c r="A60" s="2"/>
      <x:c r="B60" s="15" t="str">
        <x:v>07  Güvenlik, metaveri ve denetlenebilirlik</x:v>
      </x:c>
      <x:c r="C60" s="2"/>
      <x:c r="D60" s="2"/>
      <x:c r="E60" s="2"/>
      <x:c r="F60" s="2"/>
      <x:c r="G60" s="2"/>
    </x:row>
    <x:row r="61" ht="27" customHeight="1">
      <x:c r="A61" s="2"/>
      <x:c r="B61" s="2" t="str">
        <x:v>Asgari güvenlik zorunludur; puan, gerekli kontrollerin kapsamı, izlenebilirliği ve işletilebilirliğini ölçer.</x:v>
      </x:c>
      <x:c r="C61" s="2"/>
      <x:c r="D61" s="2"/>
      <x:c r="E61" s="2"/>
      <x:c r="F61" s="2"/>
      <x:c r="G61" s="2"/>
    </x:row>
    <x:row r="62" ht="40" customHeight="1">
      <x:c r="A62" s="2"/>
      <x:c r="B62" s="7" t="str">
        <x:v>Karşılaştırma boyutu</x:v>
      </x:c>
      <x:c r="C62" s="7" t="str">
        <x:v>Informatica
PowerCenter</x:v>
      </x:c>
      <x:c r="D62" s="7" t="str">
        <x:v>Oracle ODI</x:v>
      </x:c>
      <x:c r="E62" s="7" t="str">
        <x:v>dbt Core v1
+ Oracle</x:v>
      </x:c>
      <x:c r="F62" s="7" t="str">
        <x:v>Cloudera
(kurum içi)</x:v>
      </x:c>
      <x:c r="G62" s="7" t="str">
        <x:v>Apache Spark
(kurum içi)</x:v>
      </x:c>
    </x:row>
    <x:row r="63" ht="85" customHeight="1">
      <x:c r="A63" s="2"/>
      <x:c r="B63" s="17" t="str">
        <x:v>Yaklaşım</x:v>
      </x:c>
      <x:c r="C63" s="16" t="str">
        <x:v>Ürün deposu ve çalışma logları süreç metaverisini taşır. Kurumsal kolon seviyesinde kaynak→rapor izi ayrıca kapsamlandırılmalı.</x:v>
      </x:c>
      <x:c r="D63" s="16" t="str">
        <x:v>Depo/topoloji/yetki modeli ve çalışma kayıtları vardır. Tasarım bağımlılıkları, MicroStrategy’ye kadar tamamlanmış soy ağacı varsayılmaz.</x:v>
      </x:c>
      <x:c r="E63" s="16" t="str">
        <x:v>Proje bağımlılıkları, test sonuçları ve derleme çıktıları kullanılır. Oracle yetkileri ve yerel çalıştırıcı erişimleri ayrıca yönetilir.</x:v>
      </x:c>
      <x:c r="F63" s="16" t="str">
        <x:v>Ranger ve Atlas gibi servisler güvenlik/metaveri mimarisinde yer alır. Gerçek kapsam seçilen servis ve entegrasyonlara bağlıdır.</x:v>
      </x:c>
      <x:c r="G63" s="16" t="str">
        <x:v>Motor güvenliği yapılandırılmalıdır. Kimlik, ağ, UI, log ve uygulama yetkileri; küme yöneticisi ve diğer bileşenlerle birlikte ele alınır.</x:v>
      </x:c>
    </x:row>
    <x:row r="64" ht="85" customHeight="1">
      <x:c r="A64" s="2"/>
      <x:c r="B64" s="17" t="str">
        <x:v>Ek bileşen / sınır</x:v>
      </x:c>
      <x:c r="C64" s="16" t="str">
        <x:v>Gerekli katalog/lineage tarayıcıları, merkezi log toplama, hassas alan maskeleme ve sır yönetimi ayrıca doğrulanır.</x:v>
      </x:c>
      <x:c r="D64" s="16" t="str">
        <x:v>Katalog entegrasyonu, özel SQL/PLSQL izi, log saklama ve parola/bağlantı yönetimi dahil edilir.</x:v>
      </x:c>
      <x:c r="E64" s="16" t="str">
        <x:v>Doküman/artifact saklama, kurumsal katalog entegrasyonu, secrets ve rol ayrımı eklenir. Kaynak grafiği otomatik tam kolon izi sayılmaz.</x:v>
      </x:c>
      <x:c r="F64" s="16" t="str">
        <x:v>Oracle giriş/çıkış ve raporlama sınırlarında Atlas/diğer katalog bağlayıcılarının kapsadığı nesneler test edilir.</x:v>
      </x:c>
      <x:c r="G64" s="16" t="str">
        <x:v>Yerel IAM, secrets, şifreleme, log/audit, katalog ve lineage bileşenleri seçilir. Kodun dış sistem erişimleri ayrıca sınırlandırılır.</x:v>
      </x:c>
    </x:row>
    <x:row r="65" ht="85" customHeight="1">
      <x:c r="A65" s="2"/>
      <x:c r="B65" s="17" t="str">
        <x:v>Banka açısından (yorum)</x:v>
      </x:c>
      <x:c r="C65" s="16" t="str">
        <x:v>Ürün ailesinin katalog olanakları otomatik dahil sayılırsa maliyet ve kapsam eksik çıkar. Hassas verinin hata loglarına yazımı incelenmeli.</x:v>
      </x:c>
      <x:c r="D65" s="16" t="str">
        <x:v>PowerDesigner’daki sahiplik bilgisi iş anlamı/onay kaydıyla ilişkilendirilebilir; araçlar arası entegrasyon yapılmış kabul edilmez.</x:v>
      </x:c>
      <x:c r="E65" s="16" t="str">
        <x:v>Metin tabanlı proje denetimi kolaylaşabilir; artifact ve log dosyaları da banka metaverisi olarak korunmalı.</x:v>
      </x:c>
      <x:c r="F65" s="16" t="str">
        <x:v>Bir platform içinde merkezi kontrol faydalı olabilir; kurumun Oracle ve rapor dünyasına kadar uzanması ayrıca kanıtlanmalı.</x:v>
      </x:c>
      <x:c r="G65" s="16" t="str">
        <x:v>Çok bileşenli güvenlik ayarlarının bakım ve denetim maliyeti hesaba katılmalı. Güvenli varsayılanlar olduğu kabul edilmez.</x:v>
      </x:c>
    </x:row>
    <x:row r="66" ht="85" customHeight="1">
      <x:c r="A66" s="2"/>
      <x:c r="B66" s="17" t="str">
        <x:v>Ortak testte göster</x:v>
      </x:c>
      <x:c r="C66" s="16" t="str">
        <x:v>Hassas alanın kaynaktan rapora izini, yetkisiz erişimin reddini ve log maskelemesini göster. Kullanılan ek ürünleri kaydet.</x:v>
      </x:c>
      <x:c r="D66" s="16" t="str">
        <x:v>Yetki değişikliği, gizli bilgi döndürme ve özel SQL içeren bir akışta rapora kadar etki analizini göster.</x:v>
      </x:c>
      <x:c r="E66" s="16" t="str">
        <x:v>Gizli bilgi sızıntı testi, CI/runtime ayrımı, artifact saklama ve bir kolon değişikliğinin rapor etkisini göster.</x:v>
      </x:c>
      <x:c r="F66" s="16" t="str">
        <x:v>Ranger politikası ve denetim kaydını test et. Atlas’tan Oracle hedef ve rapora kadar hangi adımların görünmediğini açıkça listele.</x:v>
      </x:c>
      <x:c r="G66" s="16" t="str">
        <x:v>UI/driver/executor erişimlerini test et. Servis hesabını iptal et, logu incele; kaynak-kod-hedef-rapor izi ve eksiklerini göster.</x:v>
      </x:c>
    </x:row>
    <x:row r="67" ht="33" customHeight="1">
      <x:c r="A67" s="2"/>
      <x:c r="B67" s="19" t="str">
        <x:v>Kaynak kodları</x:v>
      </x:c>
      <x:c r="C67" s="19" t="str">
        <x:v>I4; entegrasyon gereği</x:v>
      </x:c>
      <x:c r="D67" s="19" t="str">
        <x:v>O1, O3</x:v>
      </x:c>
      <x:c r="E67" s="19" t="str">
        <x:v>D1, D3</x:v>
      </x:c>
      <x:c r="F67" s="19" t="str">
        <x:v>C1, C3</x:v>
      </x:c>
      <x:c r="G67" s="19" t="str">
        <x:v>S3</x:v>
      </x:c>
    </x:row>
    <x:row r="68" ht="24" customHeight="1">
      <x:c r="A68" s="2"/>
      <x:c r="B68" s="2"/>
      <x:c r="C68" s="2"/>
      <x:c r="D68" s="2"/>
      <x:c r="E68" s="2"/>
      <x:c r="F68" s="2"/>
      <x:c r="G68" s="2"/>
    </x:row>
    <x:row r="69" ht="29" customHeight="1">
      <x:c r="A69" s="2"/>
      <x:c r="B69" s="15" t="str">
        <x:v>08  Geliştirme, test ve değişiklik yönetimi</x:v>
      </x:c>
      <x:c r="C69" s="2"/>
      <x:c r="D69" s="2"/>
      <x:c r="E69" s="2"/>
      <x:c r="F69" s="2"/>
      <x:c r="G69" s="2"/>
    </x:row>
    <x:row r="70" ht="27" customHeight="1">
      <x:c r="A70" s="2"/>
      <x:c r="B70" s="2" t="str">
        <x:v>Bankanın kendi ekibi değişikliği geliştirebilmeli, inceleyebilmeli, test edip güvenle devreye alabilmeli.</x:v>
      </x:c>
      <x:c r="C70" s="2"/>
      <x:c r="D70" s="2"/>
      <x:c r="E70" s="2"/>
      <x:c r="F70" s="2"/>
      <x:c r="G70" s="2"/>
    </x:row>
    <x:row r="71" ht="40" customHeight="1">
      <x:c r="A71" s="2"/>
      <x:c r="B71" s="7" t="str">
        <x:v>Karşılaştırma boyutu</x:v>
      </x:c>
      <x:c r="C71" s="7" t="str">
        <x:v>Informatica
PowerCenter</x:v>
      </x:c>
      <x:c r="D71" s="7" t="str">
        <x:v>Oracle ODI</x:v>
      </x:c>
      <x:c r="E71" s="7" t="str">
        <x:v>dbt Core v1
+ Oracle</x:v>
      </x:c>
      <x:c r="F71" s="7" t="str">
        <x:v>Cloudera
(kurum içi)</x:v>
      </x:c>
      <x:c r="G71" s="7" t="str">
        <x:v>Apache Spark
(kurum içi)</x:v>
      </x:c>
    </x:row>
    <x:row r="72" ht="85" customHeight="1">
      <x:c r="A72" s="2"/>
      <x:c r="B72" s="17" t="str">
        <x:v>Yaklaşım</x:v>
      </x:c>
      <x:c r="C72" s="16" t="str">
        <x:v>Görsel eşleme ve depo nesneleri. PowerCenter’ın depo sürümleme/team-based geliştirme kapsamı, kaynak kod tabanlı Git akışından ayrı değerlendirilir.</x:v>
      </x:c>
      <x:c r="D72" s="16" t="str">
        <x:v>Görsel eşleme, KM ve senaryolar; dış sürüm kontrol sistemi entegrasyonu belgelenmiştir. Nesne ve üretilen kod birlikte incelenir.</x:v>
      </x:c>
      <x:c r="E72" s="16" t="str">
        <x:v>SQL/YAML ve makrolar metin tabanlı projedir. Veri testleri geliştirme akışına eklenebilir. Core/adaptör uyumlu sürümleri sabitlenir.</x:v>
      </x:c>
      <x:c r="F72" s="16" t="str">
        <x:v>Geliştirme deneyimi seçilen motor ve araca bağlıdır. Spark kodu, SQL, akış tasarımı veya notebook aynı değişiklik türü değildir.</x:v>
      </x:c>
      <x:c r="G72" s="16" t="str">
        <x:v>Python/Scala/SQL uygulamaları ve test çerçevesi seçilir. Bir CI akışı kurmak ürün seçiminin yanında mühendislik çalışmasıdır.</x:v>
      </x:c>
    </x:row>
    <x:row r="73" ht="85" customHeight="1">
      <x:c r="A73" s="2"/>
      <x:c r="B73" s="17" t="str">
        <x:v>Ek bileşen / sınır</x:v>
      </x:c>
      <x:c r="C73" s="16" t="str">
        <x:v>Depo sürümleme lisansı, export/deployment otomasyonu, test verisi ve ortam konfigürasyonu doğrulanır. Git deposuna export atmak semantik merge kanıtı değildir.</x:v>
      </x:c>
      <x:c r="D73" s="16" t="str">
        <x:v>Git akışı, KM özelleştirmeleri, context/bağlantı ayrımı ve otomatik paket dağıtımı test edilir. Senaryo sürümü kontrollü seçilir.</x:v>
      </x:c>
      <x:c r="E73" s="16" t="str">
        <x:v>Yerel Git/CI, bağımlılık aynası, test verisi ve release onayı gerekir. Adaptörün desteklemediği özellikler proje standartlarında dışlanır.</x:v>
      </x:c>
      <x:c r="F73" s="16" t="str">
        <x:v>Her araç için Git, artifact/image deposu, ortam ayarları ve yükseltme testleri seçilir. Platform servisleri de sürüm bağımlılığı getirir.</x:v>
      </x:c>
      <x:c r="G73" s="16" t="str">
        <x:v>Birim/entegrasyon testleri, paketleme, dependency pinning, sürücü uyumu ve deployment/rollback standardı oluşturulur.</x:v>
      </x:c>
    </x:row>
    <x:row r="74" ht="85" customHeight="1">
      <x:c r="A74" s="2"/>
      <x:c r="B74" s="17" t="str">
        <x:v>Banka açısından (yorum)</x:v>
      </x:c>
      <x:c r="C74" s="16" t="str">
        <x:v>Görsel geliştirme ekip tercihine uyabilir. Değişiklik farkının okunabilirliği ve bağımsız review pratikte ölçülmeli.</x:v>
      </x:c>
      <x:c r="D74" s="16" t="str">
        <x:v>Oracle SQL ve KM uzmanlığı birlikte gerekir. Üretilen SQL değişikliklerini takip etmek sürpriz performans farklarını azaltabilir.</x:v>
      </x:c>
      <x:c r="E74" s="16" t="str">
        <x:v>SQL bilen ekip için okunabilir modelleme yaklaşımı olabilir. Makro soyutlaması ve paket bağımlılıkları bakım yüküne dahil edilir.</x:v>
      </x:c>
      <x:c r="F74" s="16" t="str">
        <x:v>Birden çok geliştirme yolu ekipler arasında standartlaşma gerektirir. Mevcut olmayan notebook/servis kabiliyetlerine puan verilmez.</x:v>
      </x:c>
      <x:c r="G74" s="16" t="str">
        <x:v>Esnek kod geliştirme için yazılım mühendisliği disiplini gerekir. Tek geliştiriciye bağlı özel framework kalıcı işletim riski olabilir.</x:v>
      </x:c>
    </x:row>
    <x:row r="75" ht="85" customHeight="1">
      <x:c r="A75" s="2"/>
      <x:c r="B75" s="17" t="str">
        <x:v>Ortak testte göster</x:v>
      </x:c>
      <x:c r="C75" s="16" t="str">
        <x:v>Yeni kolon ve iş kuralını iki geliştiriciyle değiştir. Fark inceleme, test, ortama taşıma ve geri dönüş eforunu ölç.</x:v>
      </x:c>
      <x:c r="D75" s="16" t="str">
        <x:v>Aynı değişikliği KM/senaryo ve context ile taşı. Git çatışması, otomatik dağıtım ve eski sürüme dönüşü göster.</x:v>
      </x:c>
      <x:c r="E75" s="16" t="str">
        <x:v>Model/test değişikliği, CI hatası ve eski sürüme dönüşü göster. Şema değişmişken veri geri dönüşünün ayrı adımlarını kaydet.</x:v>
      </x:c>
      <x:c r="F75" s="16" t="str">
        <x:v>Seçilen tek geliştirme standardıyla banka ekibine değişiklik yaptır. Dev/test/prod paket ve servis uyumunu göster.</x:v>
      </x:c>
      <x:c r="G75" s="16" t="str">
        <x:v>Kod review, test, paket dağıtımı ve bağımlılık yükseltme hatasını göster. Aynı paketi temiz ortamda yeniden üret.</x:v>
      </x:c>
    </x:row>
    <x:row r="76" ht="33" customHeight="1">
      <x:c r="A76" s="2"/>
      <x:c r="B76" s="19" t="str">
        <x:v>Kaynak kodları</x:v>
      </x:c>
      <x:c r="C76" s="19" t="str">
        <x:v>I4</x:v>
      </x:c>
      <x:c r="D76" s="19" t="str">
        <x:v>O3</x:v>
      </x:c>
      <x:c r="E76" s="19" t="str">
        <x:v>D1, D3, D4</x:v>
      </x:c>
      <x:c r="F76" s="19" t="str">
        <x:v>C1; tasarım gereği</x:v>
      </x:c>
      <x:c r="G76" s="19" t="str">
        <x:v>S4; tasarım gereği</x:v>
      </x:c>
    </x:row>
    <x:row r="77" ht="24" customHeight="1">
      <x:c r="A77" s="2"/>
      <x:c r="B77" s="2"/>
      <x:c r="C77" s="2"/>
      <x:c r="D77" s="2"/>
      <x:c r="E77" s="2"/>
      <x:c r="F77" s="2"/>
      <x:c r="G77" s="2"/>
    </x:row>
    <x:row r="78" ht="29" customHeight="1">
      <x:c r="A78" s="2"/>
      <x:c r="B78" s="15" t="str">
        <x:v>09  İşletim modeli, destek ve yaşam döngüsü</x:v>
      </x:c>
      <x:c r="C78" s="2"/>
      <x:c r="D78" s="2"/>
      <x:c r="E78" s="2"/>
      <x:c r="F78" s="2"/>
      <x:c r="G78" s="2"/>
    </x:row>
    <x:row r="79" ht="27" customHeight="1">
      <x:c r="A79" s="2"/>
      <x:c r="B79" s="2" t="str">
        <x:v>03:00 olayında teşhis, düzeltme ve destek sorumlusu belli olmalı; yükseltme ve devir süreci sürdürülebilmeli.</x:v>
      </x:c>
      <x:c r="C79" s="2"/>
      <x:c r="D79" s="2"/>
      <x:c r="E79" s="2"/>
      <x:c r="F79" s="2"/>
      <x:c r="G79" s="2"/>
    </x:row>
    <x:row r="80" ht="40" customHeight="1">
      <x:c r="A80" s="2"/>
      <x:c r="B80" s="7" t="str">
        <x:v>Karşılaştırma boyutu</x:v>
      </x:c>
      <x:c r="C80" s="7" t="str">
        <x:v>Informatica
PowerCenter</x:v>
      </x:c>
      <x:c r="D80" s="7" t="str">
        <x:v>Oracle ODI</x:v>
      </x:c>
      <x:c r="E80" s="7" t="str">
        <x:v>dbt Core v1
+ Oracle</x:v>
      </x:c>
      <x:c r="F80" s="7" t="str">
        <x:v>Cloudera
(kurum içi)</x:v>
      </x:c>
      <x:c r="G80" s="7" t="str">
        <x:v>Apache Spark
(kurum içi)</x:v>
      </x:c>
    </x:row>
    <x:row r="81" ht="85" customHeight="1">
      <x:c r="A81" s="2"/>
      <x:c r="B81" s="17" t="str">
        <x:v>Yaklaşım</x:v>
      </x:c>
      <x:c r="C81" s="16" t="str">
        <x:v>Ürün sağlayıcı/partner desteği teklifin kapsamına göre değerlendirilir. Yerel ürün sürümü için destek süresi yazılı teyit edilir.</x:v>
      </x:c>
      <x:c r="D81" s="16" t="str">
        <x:v>Oracle/partner destek yolu; ajan, depo, KM, sürücü ve veritabanı sorunlarının sınırlarıyla birlikte tanımlanır.</x:v>
      </x:c>
      <x:c r="E81" s="16" t="str">
        <x:v>Oracle adaptör bakımı ile bankanın sözleşmeli olay desteği ayrılır. Resmî Oracle kurulum sayfası dbt desteğini desteklenmiyor olarak belirtir.</x:v>
      </x:c>
      <x:c r="F81" s="16" t="str">
        <x:v>Dağıtımın kapsadığı servisler için Cloudera/partner desteği belirlenir. Özel kod ve dış bileşenler aynı sözleşmede varsayılmaz.</x:v>
      </x:c>
      <x:c r="G81" s="16" t="str">
        <x:v>Apache projesi kullanımı bankaya olay SLA’sı vermez. Banka ekibi veya hizmet sağlayıcı tüm üretim hizmetini sahiplenmelidir.</x:v>
      </x:c>
    </x:row>
    <x:row r="82" ht="85" customHeight="1">
      <x:c r="A82" s="2"/>
      <x:c r="B82" s="17" t="str">
        <x:v>Ek bileşen / sınır</x:v>
      </x:c>
      <x:c r="C82" s="16" t="str">
        <x:v>PowerCenter yöneticisi, ETL geliştirici, DBA ve platform nöbeti. Eklentiler için ayrı destek kanalının olup olmadığı sorulur.</x:v>
      </x:c>
      <x:c r="D82" s="16" t="str">
        <x:v>ODI/KM uzmanı, DBA ve ajan/depo yöneticisi. Kullanılan middleware ve özel KM’nin yükseltme sahibi belirlenir.</x:v>
      </x:c>
      <x:c r="E82" s="16" t="str">
        <x:v>SQL/analytics mühendisliği yanında alım, CI, Python/driver ve scheduler işletimi. Paket/adaptör düzeltmesi için sorumlu atanır.</x:v>
      </x:c>
      <x:c r="F82" s="16" t="str">
        <x:v>Küme, depolama, güvenlik ve veri mühendisliği rolleri. Çoklu servis yükseltme sırası ve uyumluluk matrisi işletilir.</x:v>
      </x:c>
      <x:c r="G82" s="16" t="str">
        <x:v>Dağıtık sistem, veri mühendisliği ve platform ekipleri. Spark, JDK/Python, sürücüler, orchestrator ve depolama bağımlılıkları işletilir.</x:v>
      </x:c>
    </x:row>
    <x:row r="83" ht="85" customHeight="1">
      <x:c r="A83" s="2"/>
      <x:c r="B83" s="17" t="str">
        <x:v>Banka açısından (yorum)</x:v>
      </x:c>
      <x:c r="C83" s="16" t="str">
        <x:v>Tedarikçi desteği faydalı olabilir; gece teşhisinde bankanın log ve durum bilgisine hâkim olması yine gerekir. Buluta zorunlu geçiş varsayımı yapılmaz.</x:v>
      </x:c>
      <x:c r="D83" s="16" t="str">
        <x:v>Mevcut Oracle uzmanlığı avantaj sağlayabilir; ODI/KM ve production support yetkinliği ayrıca ölçülür. Aynı marka tek olay sahibi demek değildir.</x:v>
      </x:c>
      <x:c r="E83" s="16" t="str">
        <x:v>Düşük ürün lisansı, düşük işletim yükü anlamına gelmez. Parçalı destek zincirinin koordinasyonu teklifin parçası olmalı.</x:v>
      </x:c>
      <x:c r="F83" s="16" t="str">
        <x:v>Platform faydası, sürekli küme işletimini taşıyabilecek ekip ve kullanım hacmiyle birlikte değerlendirilir.</x:v>
      </x:c>
      <x:c r="G83" s="16" t="str">
        <x:v>Özel framework ve sürüm uyumunu kurum sahiplenir. Çalışanı değişince hizmetin devam edebilmesi önemli seçim ölçütüdür.</x:v>
      </x:c>
    </x:row>
    <x:row r="84" ht="85" customHeight="1">
      <x:c r="A84" s="2"/>
      <x:c r="B84" s="17" t="str">
        <x:v>Ortak testte göster</x:v>
      </x:c>
      <x:c r="C84" s="16" t="str">
        <x:v>Bankanın nöbetçi ekibiyle hata teşhisi, vendor escalation, yama ve repository restore tatbikatı yap. Müdahale süresi/rol sayısını ölç.</x:v>
      </x:c>
      <x:c r="D84" s="16" t="str">
        <x:v>KM/ajan/Oracle hatasını ayrıştıran runbook uygula. Depo yedeği, sürücü değişikliği ve yükseltme dönüş planını göster.</x:v>
      </x:c>
      <x:c r="E84" s="16" t="str">
        <x:v>Adaptör veya bağımlılık arızası senaryosunda kimin düzelttiğini göster. Yerel paketlerden temiz kurulum ve ekip devri uygula.</x:v>
      </x:c>
      <x:c r="F84" s="16" t="str">
        <x:v>Bir servis arızası ve rolling/planlı bakım tatbikatı yap. Hizmet dışı kalan bileşenleri ve destek sınırlarını kaydet.</x:v>
      </x:c>
      <x:c r="G84" s="16" t="str">
        <x:v>Driver/küme/bağlayıcı hatasında sorumluluğu işlet. Yama, kapasite artışı, yeni ekibe devir ve temiz kurulum eforunu ölç.</x:v>
      </x:c>
    </x:row>
    <x:row r="85" ht="33" customHeight="1">
      <x:c r="A85" s="2"/>
      <x:c r="B85" s="19" t="str">
        <x:v>Kaynak kodları</x:v>
      </x:c>
      <x:c r="C85" s="19" t="str">
        <x:v>I2, I4; teklif gerekli</x:v>
      </x:c>
      <x:c r="D85" s="19" t="str">
        <x:v>O2, O3; teklif gerekli</x:v>
      </x:c>
      <x:c r="E85" s="19" t="str">
        <x:v>D1, D4</x:v>
      </x:c>
      <x:c r="F85" s="19" t="str">
        <x:v>C1; teklif gerekli</x:v>
      </x:c>
      <x:c r="G85" s="19" t="str">
        <x:v>S3, S4; hizmet sözleşmesi</x:v>
      </x:c>
    </x:row>
    <x:row r="86" ht="24" customHeight="1">
      <x:c r="A86" s="2"/>
      <x:c r="B86" s="2"/>
      <x:c r="C86" s="2"/>
      <x:c r="D86" s="2"/>
      <x:c r="E86" s="2"/>
      <x:c r="F86" s="2"/>
      <x:c r="G86" s="2"/>
    </x:row>
    <x:row r="87" ht="29" customHeight="1">
      <x:c r="A87" s="2"/>
      <x:c r="B87" s="15" t="str">
        <x:v>10  Beş yıllık maliyet ve çıkış eforu</x:v>
      </x:c>
      <x:c r="C87" s="2"/>
      <x:c r="D87" s="2"/>
      <x:c r="E87" s="2"/>
      <x:c r="F87" s="2"/>
      <x:c r="G87" s="2"/>
    </x:row>
    <x:row r="88" ht="27" customHeight="1">
      <x:c r="A88" s="2"/>
      <x:c r="B88" s="2" t="str">
        <x:v>Başlangıç kurulumu + 5 yıl aynı kapsam; üretim, test ve DR dahil. Fiyatlar henüz alınmadı.</x:v>
      </x:c>
      <x:c r="C88" s="2"/>
      <x:c r="D88" s="2"/>
      <x:c r="E88" s="2"/>
      <x:c r="F88" s="2"/>
      <x:c r="G88" s="2"/>
    </x:row>
    <x:row r="89" ht="40" customHeight="1">
      <x:c r="A89" s="2"/>
      <x:c r="B89" s="7" t="str">
        <x:v>Karşılaştırma boyutu</x:v>
      </x:c>
      <x:c r="C89" s="7" t="str">
        <x:v>Informatica
PowerCenter</x:v>
      </x:c>
      <x:c r="D89" s="7" t="str">
        <x:v>Oracle ODI</x:v>
      </x:c>
      <x:c r="E89" s="7" t="str">
        <x:v>dbt Core v1
+ Oracle</x:v>
      </x:c>
      <x:c r="F89" s="7" t="str">
        <x:v>Cloudera
(kurum içi)</x:v>
      </x:c>
      <x:c r="G89" s="7" t="str">
        <x:v>Apache Spark
(kurum içi)</x:v>
      </x:c>
    </x:row>
    <x:row r="90" ht="85" customHeight="1">
      <x:c r="A90" s="2"/>
      <x:c r="B90" s="17" t="str">
        <x:v>Maliyet yapısı (yorum)</x:v>
      </x:c>
      <x:c r="C90" s="16" t="str">
        <x:v>PowerCenter, bağlayıcı/CDC ve gerekirse katalog/kalite; motor ve depo altyapısı; bakım/destek ve ekip. Teklif paketleri ayrı kalemlerle doğrulanır.</x:v>
      </x:c>
      <x:c r="D90" s="16" t="str">
        <x:v>ODI, gerekiyorsa CDC ve middleware; depo/ajan; ek Oracle işlem kapasitesi; geliştirme, DBA ve destek. Mevcut haklar yazılı teyit edilir.</x:v>
      </x:c>
      <x:c r="E90" s="16" t="str">
        <x:v>Core/adapter seçiminin lisans koşulları; alım/CDC, zamanlayıcı, CI, Oracle kapasitesi ve mühendislik/işletim. Açık kaynak sıfır hizmet maliyeti değildir.</x:v>
      </x:c>
      <x:c r="F90" s="16" t="str">
        <x:v>Platform aboneliği, düğümler, depolama, yedek/DR, opsiyonel servisler, alım, ağ ve küme işletimi. Oracle’a dönüş yolu ayrıca hesaplanır.</x:v>
      </x:c>
      <x:c r="G90" s="16" t="str">
        <x:v>Küme, depolama, alım, orkestrasyon, güvenlik, destek ve mühendislik. Donanım maliyetine özel çerçeve geliştirme/bakımı eklenir.</x:v>
      </x:c>
    </x:row>
    <x:row r="91" ht="85" customHeight="1">
      <x:c r="A91" s="2"/>
      <x:c r="B91" s="17" t="str">
        <x:v>Teklifte ayrıştır</x:v>
      </x:c>
      <x:c r="C91" s="16" t="str">
        <x:v>Lisans ölçüsü, connector/CDC, HA/DR ve non-prod hakları; yıllık artışlar; professional services; kapsam dışı ürünler.</x:v>
      </x:c>
      <x:c r="D91" s="16" t="str">
        <x:v>Lisans metriği, kullanılan ürün/sürüm, non-prod/DR hakları; mevcut lisansların kapsadığı kurulum ve kapasite.</x:v>
      </x:c>
      <x:c r="E91" s="16" t="str">
        <x:v>Ücretli bileşenler, mühendis/operatör zamanı, adaptör destek anlaşması, yükseltme ve Oracle kaynak maliyeti.</x:v>
      </x:c>
      <x:c r="F91" s="16" t="str">
        <x:v>Base ve opsiyonel servisler, minimum üretim/DR boyutu, depolama büyümesi, donanım yenileme ve destek artışı.</x:v>
      </x:c>
      <x:c r="G91" s="16" t="str">
        <x:v>Bileşen başına hizmet, FTE/gün hesabı, donanım yenileme, disk/ağ büyümesi, nöbet ve güvenlik bakım maliyeti.</x:v>
      </x:c>
    </x:row>
    <x:row r="92" ht="85" customHeight="1">
      <x:c r="A92" s="2"/>
      <x:c r="B92" s="17" t="str">
        <x:v>Çıkış riski (yorum)</x:v>
      </x:c>
      <x:c r="C92" s="16" t="str">
        <x:v>Eşleme/workflow/depo metaverisinin taşınması ve başka araca yeniden yazılması. Export dosyası çalışır pipeline eşdeğeri değildir.</x:v>
      </x:c>
      <x:c r="D92" s="16" t="str">
        <x:v>Üretilen SQL’in yeniden kullanımı değerlidir; KM, senaryo, topology ve load plan bağımlılıklarının taşınması ayrıca hesaplanır.</x:v>
      </x:c>
      <x:c r="E92" s="16" t="str">
        <x:v>SQL ve Git dosyaları taşınabilir; Oracle SQL, makro, materialization ve alım/orkestrasyon bağımlılıkları dönüşüm gerektirebilir.</x:v>
      </x:c>
      <x:c r="F92" s="16" t="str">
        <x:v>Tablo formatı, servis API’leri, güvenlik politikası, iş kodu ve veri kopyalarının yeni platforma taşınması değerlendirilir.</x:v>
      </x:c>
      <x:c r="G92" s="16" t="str">
        <x:v>Kod erişilebilir olsa da framework, kütüphane, tablo formatı, deployment ve işletim bağımlılıkları geçiş maliyeti yaratır.</x:v>
      </x:c>
    </x:row>
    <x:row r="93" ht="85" customHeight="1">
      <x:c r="A93" s="2"/>
      <x:c r="B93" s="17" t="str">
        <x:v>Ortak hesap / test</x:v>
      </x:c>
      <x:c r="C93" s="16" t="str">
        <x:v>Aynı hacim ve hizmet seviyesi için 5 yıllık teklif al. Temsilî bir akışı dışa aktar ve başka çalıştırma yoluna taşıma eforunu tahmin et.</x:v>
      </x:c>
      <x:c r="D93" s="16" t="str">
        <x:v>Ek nakit maliyeti ve mevcut Oracle ortak kapasite kullanımını ayrı göster. Temsilî KM/senaryonun çıkış eforunu ölç.</x:v>
      </x:c>
      <x:c r="E93" s="16" t="str">
        <x:v>Alım ve tüm operasyon parçaları dahil maliyetle puanla. Bir model ve zamanlama zincirini başka çalıştırıcıya taşıma denemesi yap.</x:v>
      </x:c>
      <x:c r="F93" s="16" t="str">
        <x:v>Kapasite ve personel büyüme senaryosu uygula. Aynı hedef Exadata olduğunda ek platformun faydasını toplam maliyetle karşılaştır.</x:v>
      </x:c>
      <x:c r="G93" s="16" t="str">
        <x:v>Düşük/temel/yüksek hacim ve ekip maliyeti hesapla. Temsilî işi yeniden paketleyip temiz alternatif ortamda çalıştırma eforunu ölç.</x:v>
      </x:c>
    </x:row>
    <x:row r="94" ht="33" customHeight="1">
      <x:c r="A94" s="2"/>
      <x:c r="B94" s="19" t="str">
        <x:v>Kaynak kodları</x:v>
      </x:c>
      <x:c r="C94" s="19" t="str">
        <x:v>T1</x:v>
      </x:c>
      <x:c r="D94" s="19" t="str">
        <x:v>T1</x:v>
      </x:c>
      <x:c r="E94" s="19" t="str">
        <x:v>T1</x:v>
      </x:c>
      <x:c r="F94" s="19" t="str">
        <x:v>T1</x:v>
      </x:c>
      <x:c r="G94" s="19" t="str">
        <x:v>T1</x:v>
      </x:c>
    </x:row>
    <x:row r="95" ht="24" customHeight="1">
      <x:c r="A95" s="2"/>
      <x:c r="B95" s="2"/>
      <x:c r="C95" s="2"/>
      <x:c r="D95" s="2"/>
      <x:c r="E95" s="2"/>
      <x:c r="F95" s="2"/>
      <x:c r="G95" s="2"/>
    </x:row>
    <x:row r="96" ht="24" customHeight="1">
      <x:c r="A96" s="2"/>
      <x:c r="B96" s="2"/>
      <x:c r="C96" s="2"/>
      <x:c r="D96" s="2"/>
      <x:c r="E96" s="2"/>
      <x:c r="F96" s="2"/>
      <x:c r="G96" s="2"/>
    </x:row>
    <x:row r="97" ht="24" customHeight="1">
      <x:c r="A97" s="2"/>
      <x:c r="B97" s="2"/>
      <x:c r="C97" s="2"/>
      <x:c r="D97" s="2"/>
      <x:c r="E97" s="2"/>
      <x:c r="F97" s="2"/>
      <x:c r="G97" s="2"/>
    </x:row>
    <x:row r="98" ht="24" customHeight="1">
      <x:c r="A98" s="2"/>
      <x:c r="B98" s="2"/>
      <x:c r="C98" s="2"/>
      <x:c r="D98" s="2"/>
      <x:c r="E98" s="2"/>
      <x:c r="F98" s="2"/>
      <x:c r="G98" s="2"/>
    </x:row>
    <x:row r="99" ht="24" customHeight="1">
      <x:c r="A99" s="2"/>
      <x:c r="B99" s="2"/>
      <x:c r="C99" s="2"/>
      <x:c r="D99" s="2"/>
      <x:c r="E99" s="2"/>
      <x:c r="F99" s="2"/>
      <x:c r="G99" s="2"/>
    </x:row>
    <x:row r="100" ht="24" customHeight="1">
      <x:c r="A100" s="2"/>
      <x:c r="B100" s="2"/>
      <x:c r="C100" s="2"/>
      <x:c r="D100" s="2"/>
      <x:c r="E100" s="2"/>
      <x:c r="F100" s="2"/>
      <x:c r="G100" s="2"/>
    </x:row>
    <x:row r="101" ht="24" customHeight="1">
      <x:c r="A101" s="2"/>
      <x:c r="B101" s="2"/>
      <x:c r="C101" s="2"/>
      <x:c r="D101" s="2"/>
      <x:c r="E101" s="2"/>
      <x:c r="F101" s="2"/>
      <x:c r="G10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8" hidden="0" customWidth="1"/>
    <x:col min="3" max="3" width="33" hidden="0" customWidth="1"/>
    <x:col min="4" max="4" width="86" hidden="0" customWidth="1"/>
    <x:col min="5" max="5" width="58" hidden="0" customWidth="1"/>
  </x:cols>
  <x:sheetData>
    <x:row r="1" ht="24" customHeight="1">
      <x:c r="A1" s="2"/>
      <x:c r="B1" s="2"/>
      <x:c r="C1" s="2"/>
      <x:c r="D1" s="2"/>
      <x:c r="E1" s="2"/>
    </x:row>
    <x:row r="2" ht="30" customHeight="1">
      <x:c r="A2" s="2"/>
      <x:c r="B2" s="3" t="str">
        <x:v>Kaynaklar ve kanıt sınırları</x:v>
      </x:c>
      <x:c r="C2" s="2"/>
      <x:c r="D2" s="2"/>
      <x:c r="E2" s="2"/>
    </x:row>
    <x:row r="3" ht="24" customHeight="1">
      <x:c r="A3" s="2"/>
      <x:c r="B3" s="2" t="str">
        <x:v>İnceleme: 12.10.2026. Belgeler ürün kabiliyetini açıklar; bankadaki test ve ticari kabulün yerine geçmez.</x:v>
      </x:c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40" customHeight="1">
      <x:c r="A5" s="2"/>
      <x:c r="B5" s="7" t="str">
        <x:v>Kod</x:v>
      </x:c>
      <x:c r="C5" s="7" t="str">
        <x:v>Kaynak</x:v>
      </x:c>
      <x:c r="D5" s="7" t="str">
        <x:v>Bağlantı / repo notu</x:v>
      </x:c>
      <x:c r="E5" s="7" t="str">
        <x:v>Kullanım sınırı</x:v>
      </x:c>
    </x:row>
    <x:row r="6" ht="88" customHeight="1">
      <x:c r="A6" s="2"/>
      <x:c r="B6" s="16" t="str">
        <x:v>O1</x:v>
      </x:c>
      <x:c r="C6" s="16" t="str">
        <x:v>ODI mimari ve KM</x:v>
      </x:c>
      <x:c r="D6" s="16" t="str">
        <x:v>https://docs.oracle.com/en/middleware/fusion-middleware/data-integrator/14.1.2/odiun/understanding-oracle-data-integrator-concepts.html</x:v>
      </x:c>
      <x:c r="E6" s="16" t="str">
        <x:v>14.1.2 belgeleri; kesin sürüm/lisans ve bankadaki kaynak-hedef uyumu ayrıca teyit edilir.</x:v>
      </x:c>
    </x:row>
    <x:row r="7" ht="88" customHeight="1">
      <x:c r="A7" s="2"/>
      <x:c r="B7" s="16" t="str">
        <x:v>O2</x:v>
      </x:c>
      <x:c r="C7" s="16" t="str">
        <x:v>ODI Load Plan ve kurtarma</x:v>
      </x:c>
      <x:c r="D7" s="16" t="str">
        <x:v>https://docs.oracle.com/en/middleware/fusion-middleware/data-integrator/14.1.2/odidg/using-load-plans.html</x:v>
      </x:c>
      <x:c r="E7" s="16" t="str">
        <x:v>Yeniden çalışma transaction sınırlarıyla test edilir. Çalıştırma belgesi aşağıdaki O4 kaydındadır.</x:v>
      </x:c>
    </x:row>
    <x:row r="8" ht="88" customHeight="1">
      <x:c r="A8" s="2"/>
      <x:c r="B8" s="16" t="str">
        <x:v>O3</x:v>
      </x:c>
      <x:c r="C8" s="16" t="str">
        <x:v>ODI sürüm kontrolü</x:v>
      </x:c>
      <x:c r="D8" s="16" t="str">
        <x:v>https://docs.oracle.com/en/middleware/fusion-middleware/data-integrator/14.1.2/odidg/integrating-odi-version-control-systems.html</x:v>
      </x:c>
      <x:c r="E8" s="16" t="str">
        <x:v>Git/VCS entegrasyon açıklaması; banka CI ve nesne birleştirme deneyimi ölçülmeli.</x:v>
      </x:c>
    </x:row>
    <x:row r="9" ht="88" customHeight="1">
      <x:c r="A9" s="2"/>
      <x:c r="B9" s="16" t="str">
        <x:v>O4</x:v>
      </x:c>
      <x:c r="C9" s="16" t="str">
        <x:v>ODI işlem yürütme</x:v>
      </x:c>
      <x:c r="D9" s="16" t="str">
        <x:v>https://docs.oracle.com/en/middleware/fusion-middleware/data-integrator/14.1.2/odiad/running-integration-processes.html</x:v>
      </x:c>
      <x:c r="E9" s="16" t="str">
        <x:v>Hata sonrası açık JDBC transaction durumu korunmaz; yeniden başlatma noktası buna göre seçilir.</x:v>
      </x:c>
    </x:row>
    <x:row r="10" ht="88" customHeight="1">
      <x:c r="A10" s="2"/>
      <x:c r="B10" s="16" t="str">
        <x:v>I1</x:v>
      </x:c>
      <x:c r="C10" s="16" t="str">
        <x:v>PowerCenter pushdown</x:v>
      </x:c>
      <x:c r="D10" s="16" t="str">
        <x:v>https://docs.informatica.com/data-integration/powercenter/10-5-9/advanced-workflow-guide/pushdown-optimization-and-transformations/update-strategy-transformation.html</x:v>
      </x:c>
      <x:c r="E10" s="16" t="str">
        <x:v>Arama dizini üzerinden doğrulandı; doğrudan erişim 403. Dönüşüm desteği tüm eşlemeler için genellenmez.</x:v>
      </x:c>
    </x:row>
    <x:row r="11" ht="88" customHeight="1">
      <x:c r="A11" s="2"/>
      <x:c r="B11" s="16" t="str">
        <x:v>I2</x:v>
      </x:c>
      <x:c r="C11" s="16" t="str">
        <x:v>PowerCenter kurtarma</x:v>
      </x:c>
      <x:c r="D11" s="16" t="str">
        <x:v>https://docs.informatica.com/data-integration/shared-content-for-data-integration/10-5/administrator-guide/high-availability/recovery.html</x:v>
      </x:c>
      <x:c r="E11" s="16" t="str">
        <x:v>10.5 ailesi belgesi; seçilen 10.5.x sürümü, lisans ve state depolaması teyit edilir.</x:v>
      </x:c>
    </x:row>
    <x:row r="12" ht="88" customHeight="1">
      <x:c r="A12" s="2"/>
      <x:c r="B12" s="16" t="str">
        <x:v>I3</x:v>
      </x:c>
      <x:c r="C12" s="16" t="str">
        <x:v>CDI-PC bileşenleri</x:v>
      </x:c>
      <x:c r="D12" s="16" t="str">
        <x:v>https://docs.informatica.com/integration-cloud/cloud-data-integration-for-powercenter/current-version/installation-guide-for-cloud-data-integration-for-powercenter--c/appendix-a--cdi-pc-components/components.html</x:v>
      </x:c>
      <x:c r="E12" s="16" t="str">
        <x:v>Arama dizini: IDMC hizmeti ve bulut domain bağlantısı. Tamamen yerel PowerCenter ile karıştırılmaz.</x:v>
      </x:c>
    </x:row>
    <x:row r="13" ht="88" customHeight="1">
      <x:c r="A13" s="2"/>
      <x:c r="B13" s="16" t="str">
        <x:v>I4</x:v>
      </x:c>
      <x:c r="C13" s="16" t="str">
        <x:v>PowerCenter ekip geliştirmesi</x:v>
      </x:c>
      <x:c r="D13" s="16" t="str">
        <x:v>https://docs.informatica.com/content/dam/source/GUID-2/GUID-299EC712-F9AA-4FF9-B836-FD2F641BF712/1/en/0849_TeamBasedDevelopmentInThePowerCenterRepositoryAndTheModelRepository_en_H2L.pdf</x:v>
      </x:c>
      <x:c r="E13" s="16" t="str">
        <x:v>PowerCenter deposu ile Model repository farklıdır. Belge sürümü eski olduğundan sunulan sürüm/haklar yeniden teyit edilir.</x:v>
      </x:c>
    </x:row>
    <x:row r="14" ht="88" customHeight="1">
      <x:c r="A14" s="2"/>
      <x:c r="B14" s="16" t="str">
        <x:v>D1</x:v>
      </x:c>
      <x:c r="C14" s="16" t="str">
        <x:v>dbt v1 Oracle kurulumu</x:v>
      </x:c>
      <x:c r="D14" s="16" t="str">
        <x:v>https://docs.getdbt.com/docs/local/connect-data-platform/oracle-setup</x:v>
      </x:c>
      <x:c r="E14" s="16" t="str">
        <x:v>Oracle bakımındaki adaptör; dbt desteği desteklenmiyor. Ephemeral sınırlaması ve bulut Python ayrımı. Exadata kabul testi yerine geçmez.</x:v>
      </x:c>
    </x:row>
    <x:row r="15" ht="88" customHeight="1">
      <x:c r="A15" s="2"/>
      <x:c r="B15" s="16" t="str">
        <x:v>D2</x:v>
      </x:c>
      <x:c r="C15" s="16" t="str">
        <x:v>dbt artımlı modeller</x:v>
      </x:c>
      <x:c r="D15" s="16" t="str">
        <x:v>https://docs.getdbt.com/docs/build/incremental-models</x:v>
      </x:c>
      <x:c r="E15" s="16" t="str">
        <x:v>Genel tasarım belgesi; desteklenen strateji ve schema davranışı sabitlenen Oracle adaptöründe doğrulanır.</x:v>
      </x:c>
    </x:row>
    <x:row r="16" ht="88" customHeight="1">
      <x:c r="A16" s="2"/>
      <x:c r="B16" s="16" t="str">
        <x:v>D3</x:v>
      </x:c>
      <x:c r="C16" s="16" t="str">
        <x:v>dbt veri testleri</x:v>
      </x:c>
      <x:c r="D16" s="16" t="str">
        <x:v>https://docs.getdbt.com/docs/build/data-tests</x:v>
      </x:c>
      <x:c r="E16" s="16" t="str">
        <x:v>Veri testlerinin amacı. Belgedeki sürüm/ürün özelliklerinin tamamı Core v1’e aktarılmaz.</x:v>
      </x:c>
    </x:row>
    <x:row r="17" ht="88" customHeight="1">
      <x:c r="A17" s="2"/>
      <x:c r="B17" s="16" t="str">
        <x:v>D4</x:v>
      </x:c>
      <x:c r="C17" s="16" t="str">
        <x:v>Oracle dbt adaptör deposu</x:v>
      </x:c>
      <x:c r="D17" s="16" t="str">
        <x:v>https://github.com/oracle/dbt-oracle</x:v>
      </x:c>
      <x:c r="E17" s="16" t="str">
        <x:v>Bakım ve kod kaynağı; sözleşmeli destek veya her Oracle dağıtımı için sertifikasyon kanıtı değildir.</x:v>
      </x:c>
    </x:row>
    <x:row r="18" ht="88" customHeight="1">
      <x:c r="A18" s="2"/>
      <x:c r="B18" s="16" t="str">
        <x:v>D5</x:v>
      </x:c>
      <x:c r="C18" s="16" t="str">
        <x:v>dbt kullanım istatistikleri</x:v>
      </x:c>
      <x:c r="D18" s="16" t="str">
        <x:v>https://docs.getdbt.com/reference/global-configs/usage-stats</x:v>
      </x:c>
      <x:c r="E18" s="16" t="str">
        <x:v>12.10.2026 tarihinde yeniden incelendi; sabitlenen sürümde ayarlar ve engellenmiş ağ erişimi test edilir.</x:v>
      </x:c>
    </x:row>
    <x:row r="19" ht="88" customHeight="1">
      <x:c r="A19" s="2"/>
      <x:c r="B19" s="16" t="str">
        <x:v>C1</x:v>
      </x:c>
      <x:c r="C19" s="16" t="str">
        <x:v>Cloudera yerel referans mimarisi</x:v>
      </x:c>
      <x:c r="D19" s="16" t="str">
        <x:v>https://docs.cloudera.com/cdp-reference-architectures/latest/cdp-pvc-base-ra/topics/ra-cdpdc-abstract.html</x:v>
      </x:c>
      <x:c r="E19" s="16" t="str">
        <x:v>Servis listesi örnek mimaridir; resmî destek matrisi ve teklif yerine geçmez.</x:v>
      </x:c>
    </x:row>
    <x:row r="20" ht="88" customHeight="1">
      <x:c r="A20" s="2"/>
      <x:c r="B20" s="16" t="str">
        <x:v>C2</x:v>
      </x:c>
      <x:c r="C20" s="16" t="str">
        <x:v>Cloudera air-gap kurulum</x:v>
      </x:c>
      <x:c r="D20" s="16" t="str">
        <x:v>https://docs.cloudera.com/cdp-private-cloud-data-services/1.5.5/installation/topics/cdppvc-installation-airgap.html</x:v>
      </x:c>
      <x:c r="E20" s="16" t="str">
        <x:v>1.5.5 sürümüne ait kurulum örneği; bütün opsiyonel servislerin kurum içinde kalması ayrıca doğrulanır.</x:v>
      </x:c>
    </x:row>
    <x:row r="21" ht="88" customHeight="1">
      <x:c r="A21" s="2"/>
      <x:c r="B21" s="16" t="str">
        <x:v>C3</x:v>
      </x:c>
      <x:c r="C21" s="16" t="str">
        <x:v>Cloudera Flow Management bağımlılıkları</x:v>
      </x:c>
      <x:c r="D21" s="16" t="str">
        <x:v>https://docs.cloudera.com/cfm/4.10.0/deployment/topics/cfm-install-cdp.html</x:v>
      </x:c>
      <x:c r="E21" s="16" t="str">
        <x:v>NiFi kurulumu için Base/Manager ve güvenlik servisleri. Abonelik kapsamı ayrıca fiyatlanır.</x:v>
      </x:c>
    </x:row>
    <x:row r="22" ht="88" customHeight="1">
      <x:c r="A22" s="2"/>
      <x:c r="B22" s="16" t="str">
        <x:v>S1</x:v>
      </x:c>
      <x:c r="C22" s="16" t="str">
        <x:v>Spark JDBC</x:v>
      </x:c>
      <x:c r="D22" s="16" t="str">
        <x:v>https://spark.apache.org/docs/latest/sql-data-sources-jdbc.html</x:v>
      </x:c>
      <x:c r="E22" s="16" t="str">
        <x:v>Okuma anında 4.2.0 belgesi; üretim sürümü sabitlenmeli. Bağlantı sayısı ve pushdown koşulları sürüme göre test edilir.</x:v>
      </x:c>
    </x:row>
    <x:row r="23" ht="88" customHeight="1">
      <x:c r="A23" s="2"/>
      <x:c r="B23" s="16" t="str">
        <x:v>S2</x:v>
      </x:c>
      <x:c r="C23" s="16" t="str">
        <x:v>Spark Structured Streaming</x:v>
      </x:c>
      <x:c r="D23" s="16" t="str">
        <x:v>https://spark.apache.org/docs/latest/streaming/apis-on-dataframes-and-datasets.html</x:v>
      </x:c>
      <x:c r="E23" s="16" t="str">
        <x:v>Checkpoint ve sink davranışı uçtan uca tasarlanır; Oracle yayını için otomatik exactly-once varsayılmaz.</x:v>
      </x:c>
    </x:row>
    <x:row r="24" ht="88" customHeight="1">
      <x:c r="A24" s="2"/>
      <x:c r="B24" s="16" t="str">
        <x:v>S3</x:v>
      </x:c>
      <x:c r="C24" s="16" t="str">
        <x:v>Spark güvenliği</x:v>
      </x:c>
      <x:c r="D24" s="16" t="str">
        <x:v>https://spark.apache.org/docs/latest/security.html</x:v>
      </x:c>
      <x:c r="E24" s="16" t="str">
        <x:v>Motor ayarları; küme yöneticisi ve dış bileşenlerin güvenliği ayrıca kapsamlandırılır.</x:v>
      </x:c>
    </x:row>
    <x:row r="25" ht="88" customHeight="1">
      <x:c r="A25" s="2"/>
      <x:c r="B25" s="16" t="str">
        <x:v>S4</x:v>
      </x:c>
      <x:c r="C25" s="16" t="str">
        <x:v>Spark uygulama gönderimi</x:v>
      </x:c>
      <x:c r="D25" s="16" t="str">
        <x:v>https://spark.apache.org/docs/latest/submitting-applications.html</x:v>
      </x:c>
      <x:c r="E25" s="16" t="str">
        <x:v>spark-submit ve paketleme; kurumsal iş takvimi ve hizmet SLA’sı değildir.</x:v>
      </x:c>
    </x:row>
    <x:row r="26" ht="88" customHeight="1">
      <x:c r="A26" s="2"/>
      <x:c r="B26" s="16" t="str">
        <x:v>T1</x:v>
      </x:c>
      <x:c r="C26" s="16" t="str">
        <x:v>Ortak maliyet yöntemi</x:v>
      </x:c>
      <x:c r="D26" s="16" t="str">
        <x:v>ETL Vendor RFI and Commercial Evaluation.md</x:v>
      </x:c>
      <x:c r="E26" s="16" t="str">
        <x:v>Repo içi yöntem; fiyat kaynağı değildir. Aynı kapsamda teklif, personel ve kapasite tahmini bekleniyor.</x:v>
      </x:c>
    </x:row>
    <x:row r="27" ht="88" customHeight="1">
      <x:c r="A27" s="2"/>
      <x:c r="B27" s="16" t="str">
        <x:v>B1</x:v>
      </x:c>
      <x:c r="C27" s="16" t="str">
        <x:v>Banka bağlamı ve sınır</x:v>
      </x:c>
      <x:c r="D27" s="16" t="str">
        <x:v>Fiziksel Topoloji - Teknik Taraf; PowerDesigner Bilgilendirme; kullanıcı teyidi 28.09.2026</x:v>
      </x:c>
      <x:c r="E27" s="16" t="str">
        <x:v>Repo notları ve kullanıcı şartı. Operasyonel sinyaller, kapasite, Automic ve hedef mimarisi bankayla doğrulanmalı.</x:v>
      </x:c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</x:sheetData>
  <x:pageMargins left="0.7" right="0.7" top="0.75" bottom="0.75" header="0.3" footer="0.3"/>
</x:worksheet>
</file>