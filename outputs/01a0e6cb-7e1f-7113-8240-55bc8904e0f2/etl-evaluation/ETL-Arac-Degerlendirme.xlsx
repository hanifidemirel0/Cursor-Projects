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0b206cd6f94c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uanlama" sheetId="1" r:id="Re5d44e6ec812429a"/>
    <x:sheet xmlns:r="http://schemas.openxmlformats.org/officeDocument/2006/relationships" name="Araç Özeti" sheetId="2" r:id="Reef59ad215014b38"/>
  </x:sheets>
</x:workbook>
</file>

<file path=xl/comments1.xml><?xml version="1.0" encoding="utf-8"?>
<x:comments xmlns:x="http://schemas.openxmlformats.org/spreadsheetml/2006/main">
  <x:authors>
    <x:author/>
  </x:authors>
  <x:commentList>
    <x:comment ref="B6" authorId="0">
      <x:text>
        <x:r>
          <x:t>Kaynaklar (28.09.2026 araştırması):
https://docs.informatica.com/data-integration/powercenter/10-5-9/advanced-workflow-guide/pushdown-optimization-and-transformations/update-strategy-transformation.html
https://docs.informatica.com/data-integration/powercenter/10-5/performance-tuning-guide/optimizing-the-target/using-external-loaders.html
https://docs.informatica.com/integration-cloud/cloud-data-integration-for-powercenter/current-version/installation-guide-for-cloud-data-integration-for-powercenter--c/appendix-a--cdi-pc-components/components.html
https://docs.informatica.com/data-integration/powercenter/10-5-9/powerexchange-interfaces-for-powercenter/part-2--powerexchange-client-for-powercenter--pwxpc-/working-with-mappings/group-source-processing-in-powerexchange.html</x:t>
        </x:r>
      </x:text>
    </x:comment>
    <x:comment ref="B7" authorId="0">
      <x:text>
        <x:r>
          <x:t>Kaynaklar (28.09.2026 araştırması):
https://docs.oracle.com/en/middleware/fusion-middleware/data-integrator/14.1.2/odiun/overview-oracle-data-integrator.html
https://docs.oracle.com/en/middleware/fusion-middleware/data-integrator/14.1.2/odikm/index.html</x:t>
        </x:r>
      </x:text>
    </x:comment>
    <x:comment ref="B8" authorId="0">
      <x:text>
        <x:r>
          <x:t>Kaynaklar (28.09.2026 araştırması):
https://docs.getdbt.com/docs/local/connect-data-platform/oracle-setup
https://github.com/oracle/dbt-oracle
https://www.getdbt.com/licenses-faq
https://docs.getdbt.com/reference/global-configs/usage-stats</x:t>
        </x:r>
      </x:text>
    </x:comment>
    <x:comment ref="B9" authorId="0">
      <x:text>
        <x:r>
          <x:t>Kaynaklar (28.09.2026 araştırması):
https://docs.cloudera.com/cdp-reference-architectures/latest/cdp-pvc-base-ra/topics/ra-cdpdc-abstract.html
https://docs-archive.cloudera.com/cdp-private-cloud-data-services/1.5.3/overview/topics/cdppvc-ds-deployment-architecture.html
https://docs.cloudera.com/cdp-private-cloud-data-services/1.5.5/installation/topics/cdppvc-installation-airgap.html</x:t>
        </x:r>
      </x:text>
    </x:comment>
    <x:comment ref="B10" authorId="0">
      <x:text>
        <x:r>
          <x:t>Kaynaklar (28.09.2026 araştırması):
https://spark.apache.org/docs/latest/sql-data-sources-jdbc.html
https://spark.apache.org/docs/latest/streaming/apis-on-dataframes-and-datasets.html
https://spark.apache.org/docs/latest/security.html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"/>
  </x:numFmts>
  <x:fonts count="6">
    <x:font>
      <x:sz val="11"/>
      <x:name val="Carlito"/>
    </x:font>
    <x:font>
      <x:sz val="11"/>
      <x:color rgb="FF172B4D"/>
      <x:name val="Arial"/>
    </x:font>
    <x:font>
      <x:b/>
      <x:sz val="16"/>
      <x:color rgb="FF172B4D"/>
      <x:name val="Arial"/>
    </x:font>
    <x:font>
      <x:b/>
      <x:sz val="11"/>
      <x:color rgb="FFFFFFFF"/>
      <x:name val="Arial"/>
    </x:font>
    <x:font>
      <x:b/>
      <x:sz val="14"/>
      <x:color rgb="FF172B4D"/>
      <x:name val="Arial"/>
    </x:font>
    <x:font>
      <x:b/>
      <x:sz val="11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858"/>
      </x:patternFill>
    </x:fill>
    <x:fill>
      <x:patternFill patternType="solid">
        <x:fgColor rgb="FFFFF3C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9B1C1C"/>
      </x:font>
      <x:fill>
        <x:patternFill patternType="solid">
          <x:bgColor rgb="FFFDE7E7"/>
        </x:patternFill>
      </x:fill>
    </x:dxf>
    <x:dxf>
      <x:font>
        <x:color rgb="FF9B1C1C"/>
      </x:font>
      <x:fill>
        <x:patternFill patternType="solid">
          <x:bgColor rgb="FFFDE7E7"/>
        </x:patternFill>
      </x:fill>
    </x:dxf>
    <x:dxf>
      <x:font>
        <x:color rgb="FF9B1C1C"/>
      </x:font>
      <x:fill>
        <x:patternFill patternType="solid">
          <x:bgColor rgb="FFFD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f3c1590cb9412b" /><Relationship Type="http://schemas.openxmlformats.org/officeDocument/2006/relationships/theme" Target="/xl/theme/theme1.xml" Id="R5fa499e1708d4fbc" /><Relationship Type="http://schemas.openxmlformats.org/officeDocument/2006/relationships/sharedStrings" Target="/xl/sharedStrings.xml" Id="R57cb74ab033e4985" /><Relationship Type="http://schemas.openxmlformats.org/officeDocument/2006/relationships/worksheet" Target="/xl/worksheets/sheet1.xml" Id="Re5d44e6ec812429a" /><Relationship Type="http://schemas.openxmlformats.org/officeDocument/2006/relationships/worksheet" Target="/xl/worksheets/sheet2.xml" Id="Reef59ad215014b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52f628f4fd74f19" /><Relationship Type="http://schemas.openxmlformats.org/officeDocument/2006/relationships/vmlDrawing" Target="/xl/drawings/vmldrawing.vml" Id="R2ac0a86046684efb" /></Relationships>
</file>

<file path=xl/worksheets/sheet1.xml><?xml version="1.0" encoding="utf-8"?>
<x:worksheet xmlns:x="http://schemas.openxmlformats.org/spreadsheetml/2006/main">
  <x:sheetPr>
    <x:tabColor rgb="FF253858"/>
  </x:sheetPr>
  <x:sheetViews>
    <x:sheetView showGridLines="0" workbookViewId="0"/>
  </x:sheetViews>
  <x:sheetFormatPr defaultRowHeight="15"/>
  <x:cols>
    <x:col min="1" max="1" width="3" hidden="0" customWidth="1"/>
    <x:col min="2" max="2" width="42" hidden="0" customWidth="1"/>
    <x:col min="3" max="3" width="11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2"/>
      <x:c r="B2" s="3" t="str">
        <x:v>ETL araç değerlendirmesi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Sarı hücreleri doldurun. Her ölçüte 0–5 puan verin. Boş hücre: henüz değerlendirilmedi.</x:v>
      </x:c>
      <x:c r="C3" s="2"/>
      <x:c r="D3" s="2"/>
      <x:c r="E3" s="2"/>
      <x:c r="F3" s="2"/>
      <x:c r="G3" s="2"/>
      <x:c r="H3" s="2"/>
    </x:row>
    <x:row r="4" ht="24" customHeight="1">
      <x:c r="A4" s="2"/>
      <x:c r="B4" s="2" t="str">
        <x:v>0: karşılamıyor · 1: ciddi eksik · 2: kısmen · 3: karşılıyor · 4: iyi · 5: çok iyi</x:v>
      </x:c>
      <x:c r="C4" s="2"/>
      <x:c r="D4" s="2"/>
      <x:c r="E4" s="2"/>
      <x:c r="F4" s="2"/>
      <x:c r="G4" s="2"/>
      <x:c r="H4" s="2"/>
    </x:row>
    <x:row r="5" ht="24" customHeight="1">
      <x:c r="A5" s="2"/>
      <x:c r="B5" s="2" t="str">
        <x:v>Ağırlıklar öneridir. Toplam %100 olmalı. Sonuç = Σ(ağırlık × puan) / 5.</x:v>
      </x:c>
      <x:c r="C5" s="2"/>
      <x:c r="D5" s="2"/>
      <x:c r="E5" s="2"/>
      <x:c r="F5" s="2"/>
      <x:c r="G5" s="2"/>
      <x:c r="H5" s="2"/>
    </x:row>
    <x:row r="6" ht="24" customHeight="1">
      <x:c r="A6" s="2"/>
      <x:c r="B6" s="2"/>
      <x:c r="C6" s="2"/>
      <x:c r="D6" s="2"/>
      <x:c r="E6" s="2"/>
      <x:c r="F6" s="2"/>
      <x:c r="G6" s="2"/>
      <x:c r="H6" s="2"/>
    </x:row>
    <x:row r="7" ht="40" customHeight="1">
      <x:c r="A7" s="2"/>
      <x:c r="B7" s="7" t="str">
        <x:v>Sonuç</x:v>
      </x:c>
      <x:c r="C7" s="7" t="str"/>
      <x:c r="D7" s="7" t="str">
        <x:v>Informatica
PowerCenter</x:v>
      </x:c>
      <x:c r="E7" s="7" t="str">
        <x:v>Oracle ODI</x:v>
      </x:c>
      <x:c r="F7" s="7" t="str">
        <x:v>dbt Core v1
+ Oracle</x:v>
      </x:c>
      <x:c r="G7" s="7" t="str">
        <x:v>Cloudera
(kurum içi)</x:v>
      </x:c>
      <x:c r="H7" s="7" t="str">
        <x:v>Apache Spark
(kurum içi)</x:v>
      </x:c>
    </x:row>
    <x:row r="8" ht="32" customHeight="1">
      <x:c r="A8" s="2"/>
      <x:c r="B8" s="2" t="str">
        <x:v>Ağırlıklı puan / 100</x:v>
      </x:c>
      <x:c r="C8" s="2"/>
      <x:c r="D8" s="9" t="str">
        <x:f>IF(AND(COUNT($C$13:$C$19)=7,$C$20=100,MIN($C$13:$C$19)&gt;=0,COUNT(D13:D19)=7,MIN(D13:D19)&gt;=0,MAX(D13:D19)&lt;=5,D28&lt;&gt;""),SUMPRODUCT($C$13:$C$19,D13:D19)/5,"")</x:f>
      </x:c>
      <x:c r="E8" s="9" t="str">
        <x:f>IF(AND(COUNT($C$13:$C$19)=7,$C$20=100,MIN($C$13:$C$19)&gt;=0,COUNT(E13:E19)=7,MIN(E13:E19)&gt;=0,MAX(E13:E19)&lt;=5,E28&lt;&gt;""),SUMPRODUCT($C$13:$C$19,E13:E19)/5,"")</x:f>
      </x:c>
      <x:c r="F8" s="9" t="str">
        <x:f>IF(AND(COUNT($C$13:$C$19)=7,$C$20=100,MIN($C$13:$C$19)&gt;=0,COUNT(F13:F19)=7,MIN(F13:F19)&gt;=0,MAX(F13:F19)&lt;=5,F28&lt;&gt;""),SUMPRODUCT($C$13:$C$19,F13:F19)/5,"")</x:f>
      </x:c>
      <x:c r="G8" s="9" t="str">
        <x:f>IF(AND(COUNT($C$13:$C$19)=7,$C$20=100,MIN($C$13:$C$19)&gt;=0,COUNT(G13:G19)=7,MIN(G13:G19)&gt;=0,MAX(G13:G19)&lt;=5,G28&lt;&gt;""),SUMPRODUCT($C$13:$C$19,G13:G19)/5,"")</x:f>
      </x:c>
      <x:c r="H8" s="9" t="str">
        <x:f>IF(AND(COUNT($C$13:$C$19)=7,$C$20=100,MIN($C$13:$C$19)&gt;=0,COUNT(H13:H19)=7,MIN(H13:H19)&gt;=0,MAX(H13:H19)&lt;=5,H28&lt;&gt;""),SUMPRODUCT($C$13:$C$19,H13:H19)/5,"")</x:f>
      </x:c>
    </x:row>
    <x:row r="9" ht="32" customHeight="1">
      <x:c r="A9" s="2"/>
      <x:c r="B9" s="2" t="str">
        <x:v>Değerlendirme durumu</x:v>
      </x:c>
      <x:c r="C9" s="2"/>
      <x:c r="D9" s="10" t="str">
        <x:f>IF(COUNTIFS(D23:D25,"Uygun değil")&gt;0,"Elendi",IF(OR(COUNTIFS(D23:D25,"Uygun")&lt;&gt;3,D29=""),"Koşullar bekliyor",IF(ISNUMBER(D8),"Karşılaştırılabilir","Puan / dayanak eksik")))</x:f>
        <x:v>Koşullar bekliyor</x:v>
      </x:c>
      <x:c r="E9" s="10" t="str">
        <x:f>IF(COUNTIFS(E23:E25,"Uygun değil")&gt;0,"Elendi",IF(OR(COUNTIFS(E23:E25,"Uygun")&lt;&gt;3,E29=""),"Koşullar bekliyor",IF(ISNUMBER(E8),"Karşılaştırılabilir","Puan / dayanak eksik")))</x:f>
        <x:v>Koşullar bekliyor</x:v>
      </x:c>
      <x:c r="F9" s="10" t="str">
        <x:f>IF(COUNTIFS(F23:F25,"Uygun değil")&gt;0,"Elendi",IF(OR(COUNTIFS(F23:F25,"Uygun")&lt;&gt;3,F29=""),"Koşullar bekliyor",IF(ISNUMBER(F8),"Karşılaştırılabilir","Puan / dayanak eksik")))</x:f>
        <x:v>Koşullar bekliyor</x:v>
      </x:c>
      <x:c r="G9" s="10" t="str">
        <x:f>IF(COUNTIFS(G23:G25,"Uygun değil")&gt;0,"Elendi",IF(OR(COUNTIFS(G23:G25,"Uygun")&lt;&gt;3,G29=""),"Koşullar bekliyor",IF(ISNUMBER(G8),"Karşılaştırılabilir","Puan / dayanak eksik")))</x:f>
        <x:v>Koşullar bekliyor</x:v>
      </x:c>
      <x:c r="H9" s="10" t="str">
        <x:f>IF(COUNTIFS(H23:H25,"Uygun değil")&gt;0,"Elendi",IF(OR(COUNTIFS(H23:H25,"Uygun")&lt;&gt;3,H29=""),"Koşullar bekliyor",IF(ISNUMBER(H8),"Karşılaştırılabilir","Puan / dayanak eksik")))</x:f>
        <x:v>Koşullar bekliyor</x:v>
      </x:c>
    </x:row>
    <x:row r="10" ht="32" customHeight="1">
      <x:c r="A10" s="2"/>
      <x:c r="B10" s="2" t="str">
        <x:v>Girilen puan sayısı / 7</x:v>
      </x:c>
      <x:c r="C10" s="2"/>
      <x:c r="D10" s="2" t="n">
        <x:f>COUNT(D13:D19)</x:f>
        <x:v>0</x:v>
      </x:c>
      <x:c r="E10" s="2" t="n">
        <x:f>COUNT(E13:E19)</x:f>
        <x:v>0</x:v>
      </x:c>
      <x:c r="F10" s="2" t="n">
        <x:f>COUNT(F13:F19)</x:f>
        <x:v>0</x:v>
      </x:c>
      <x:c r="G10" s="2" t="n">
        <x:f>COUNT(G13:G19)</x:f>
        <x:v>0</x:v>
      </x:c>
      <x:c r="H10" s="2" t="n">
        <x:f>COUNT(H13:H19)</x:f>
        <x:v>0</x:v>
      </x:c>
    </x:row>
    <x:row r="11" ht="24" customHeight="1">
      <x:c r="A11" s="2"/>
      <x:c r="B11" s="2"/>
      <x:c r="C11" s="2"/>
      <x:c r="D11" s="2"/>
      <x:c r="E11" s="2"/>
      <x:c r="F11" s="2"/>
      <x:c r="G11" s="2"/>
      <x:c r="H11" s="2"/>
    </x:row>
    <x:row r="12" ht="40" customHeight="1">
      <x:c r="A12" s="2"/>
      <x:c r="B12" s="7" t="str">
        <x:v>Ölçüt</x:v>
      </x:c>
      <x:c r="C12" s="7" t="str">
        <x:v>Ağırlık %</x:v>
      </x:c>
      <x:c r="D12" s="7" t="str">
        <x:v>Informatica
PowerCenter</x:v>
      </x:c>
      <x:c r="E12" s="7" t="str">
        <x:v>Oracle ODI</x:v>
      </x:c>
      <x:c r="F12" s="7" t="str">
        <x:v>dbt Core v1
+ Oracle</x:v>
      </x:c>
      <x:c r="G12" s="7" t="str">
        <x:v>Cloudera
(kurum içi)</x:v>
      </x:c>
      <x:c r="H12" s="7" t="str">
        <x:v>Apache Spark
(kurum içi)</x:v>
      </x:c>
    </x:row>
    <x:row r="13" ht="35" customHeight="1">
      <x:c r="A13" s="2"/>
      <x:c r="B13" s="10" t="str">
        <x:v>Oracle / Exadata uyumu ve performans</x:v>
      </x:c>
      <x:c r="C13" s="12" t="n">
        <x:v>13</x:v>
      </x:c>
      <x:c r="D13" s="13"/>
      <x:c r="E13" s="13"/>
      <x:c r="F13" s="13"/>
      <x:c r="G13" s="13"/>
      <x:c r="H13" s="13"/>
    </x:row>
    <x:row r="14" ht="35" customHeight="1">
      <x:c r="A14" s="2"/>
      <x:c r="B14" s="10" t="str">
        <x:v>Veri aktarımı ve kaynak çeşitliliği</x:v>
      </x:c>
      <x:c r="C14" s="12" t="n">
        <x:v>11</x:v>
      </x:c>
      <x:c r="D14" s="13"/>
      <x:c r="E14" s="13"/>
      <x:c r="F14" s="13"/>
      <x:c r="G14" s="13"/>
      <x:c r="H14" s="13"/>
    </x:row>
    <x:row r="15" ht="35" customHeight="1">
      <x:c r="A15" s="2"/>
      <x:c r="B15" s="10" t="str">
        <x:v>Veri doğruluğu ve tarihçe</x:v>
      </x:c>
      <x:c r="C15" s="12" t="n">
        <x:v>20</x:v>
      </x:c>
      <x:c r="D15" s="13"/>
      <x:c r="E15" s="13"/>
      <x:c r="F15" s="13"/>
      <x:c r="G15" s="13"/>
      <x:c r="H15" s="13"/>
    </x:row>
    <x:row r="16" ht="35" customHeight="1">
      <x:c r="A16" s="2"/>
      <x:c r="B16" s="10" t="str">
        <x:v>İşletim ve hata sonrası kurtarma</x:v>
      </x:c>
      <x:c r="C16" s="12" t="n">
        <x:v>18</x:v>
      </x:c>
      <x:c r="D16" s="13"/>
      <x:c r="E16" s="13"/>
      <x:c r="F16" s="13"/>
      <x:c r="G16" s="13"/>
      <x:c r="H16" s="13"/>
    </x:row>
    <x:row r="17" ht="35" customHeight="1">
      <x:c r="A17" s="2"/>
      <x:c r="B17" s="10" t="str">
        <x:v>Güvenlik ve izlenebilirlik</x:v>
      </x:c>
      <x:c r="C17" s="12" t="n">
        <x:v>16</x:v>
      </x:c>
      <x:c r="D17" s="13"/>
      <x:c r="E17" s="13"/>
      <x:c r="F17" s="13"/>
      <x:c r="G17" s="13"/>
      <x:c r="H17" s="13"/>
    </x:row>
    <x:row r="18" ht="35" customHeight="1">
      <x:c r="A18" s="2"/>
      <x:c r="B18" s="10" t="str">
        <x:v>Geliştirme, bakım ve destek</x:v>
      </x:c>
      <x:c r="C18" s="12" t="n">
        <x:v>12</x:v>
      </x:c>
      <x:c r="D18" s="13"/>
      <x:c r="E18" s="13"/>
      <x:c r="F18" s="13"/>
      <x:c r="G18" s="13"/>
      <x:c r="H18" s="13"/>
    </x:row>
    <x:row r="19" ht="35" customHeight="1">
      <x:c r="A19" s="2"/>
      <x:c r="B19" s="10" t="str">
        <x:v>5 yıllık toplam maliyet</x:v>
      </x:c>
      <x:c r="C19" s="12" t="n">
        <x:v>10</x:v>
      </x:c>
      <x:c r="D19" s="13"/>
      <x:c r="E19" s="13"/>
      <x:c r="F19" s="13"/>
      <x:c r="G19" s="13"/>
      <x:c r="H19" s="13"/>
    </x:row>
    <x:row r="20" ht="24" customHeight="1">
      <x:c r="A20" s="2"/>
      <x:c r="B20" s="2" t="str">
        <x:v>Toplam ağırlık</x:v>
      </x:c>
      <x:c r="C20" s="2" t="n">
        <x:f>SUM(C13:C19)</x:f>
        <x:v>100</x:v>
      </x:c>
      <x:c r="D20" s="2"/>
      <x:c r="E20" s="2"/>
      <x:c r="F20" s="2"/>
      <x:c r="G20" s="2"/>
      <x:c r="H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</x:row>
    <x:row r="22" ht="40" customHeight="1">
      <x:c r="A22" s="2"/>
      <x:c r="B22" s="7" t="str">
        <x:v>Zorunlu koşullar</x:v>
      </x:c>
      <x:c r="C22" s="7" t="str"/>
      <x:c r="D22" s="7" t="str">
        <x:v>Informatica
PowerCenter</x:v>
      </x:c>
      <x:c r="E22" s="7" t="str">
        <x:v>Oracle ODI</x:v>
      </x:c>
      <x:c r="F22" s="7" t="str">
        <x:v>dbt Core v1
+ Oracle</x:v>
      </x:c>
      <x:c r="G22" s="7" t="str">
        <x:v>Cloudera
(kurum içi)</x:v>
      </x:c>
      <x:c r="H22" s="7" t="str">
        <x:v>Apache Spark
(kurum içi)</x:v>
      </x:c>
    </x:row>
    <x:row r="23" ht="32" customHeight="1">
      <x:c r="A23" s="2"/>
      <x:c r="B23" s="2" t="str">
        <x:v>Tamamen kurum içinde çalışma</x:v>
      </x:c>
      <x:c r="C23" s="2"/>
      <x:c r="D23" s="11" t="str">
        <x:v>Bekliyor</x:v>
      </x:c>
      <x:c r="E23" s="11" t="str">
        <x:v>Bekliyor</x:v>
      </x:c>
      <x:c r="F23" s="11" t="str">
        <x:v>Bekliyor</x:v>
      </x:c>
      <x:c r="G23" s="11" t="str">
        <x:v>Bekliyor</x:v>
      </x:c>
      <x:c r="H23" s="11" t="str">
        <x:v>Bekliyor</x:v>
      </x:c>
    </x:row>
    <x:row r="24" ht="32" customHeight="1">
      <x:c r="A24" s="2"/>
      <x:c r="B24" s="2" t="str">
        <x:v>Güvenlik, destek ve işletim onayı</x:v>
      </x:c>
      <x:c r="C24" s="2"/>
      <x:c r="D24" s="11" t="str">
        <x:v>Bekliyor</x:v>
      </x:c>
      <x:c r="E24" s="11" t="str">
        <x:v>Bekliyor</x:v>
      </x:c>
      <x:c r="F24" s="11" t="str">
        <x:v>Bekliyor</x:v>
      </x:c>
      <x:c r="G24" s="11" t="str">
        <x:v>Bekliyor</x:v>
      </x:c>
      <x:c r="H24" s="11" t="str">
        <x:v>Bekliyor</x:v>
      </x:c>
    </x:row>
    <x:row r="25" ht="32" customHeight="1">
      <x:c r="A25" s="2"/>
      <x:c r="B25" s="2" t="str">
        <x:v>Doğruluk, süre ve kurtarma testleri</x:v>
      </x:c>
      <x:c r="C25" s="2"/>
      <x:c r="D25" s="11" t="str">
        <x:v>Bekliyor</x:v>
      </x:c>
      <x:c r="E25" s="11" t="str">
        <x:v>Bekliyor</x:v>
      </x:c>
      <x:c r="F25" s="11" t="str">
        <x:v>Bekliyor</x:v>
      </x:c>
      <x:c r="G25" s="11" t="str">
        <x:v>Bekliyor</x:v>
      </x:c>
      <x:c r="H25" s="11" t="str">
        <x:v>Bekliyor</x:v>
      </x:c>
    </x:row>
    <x:row r="26" ht="24" customHeight="1">
      <x:c r="A26" s="2"/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14" t="str">
        <x:v>Dayanak kayıtları</x:v>
      </x:c>
      <x:c r="C27" s="2"/>
      <x:c r="D27" s="2"/>
      <x:c r="E27" s="2"/>
      <x:c r="F27" s="2"/>
      <x:c r="G27" s="2"/>
      <x:c r="H27" s="2"/>
    </x:row>
    <x:row r="28" ht="46" customHeight="1">
      <x:c r="A28" s="2"/>
      <x:c r="B28" s="2" t="str">
        <x:v>Puan gerekçeleri / test / teklif kaydı</x:v>
      </x:c>
      <x:c r="C28" s="2"/>
      <x:c r="D28" s="15"/>
      <x:c r="E28" s="15"/>
      <x:c r="F28" s="15"/>
      <x:c r="G28" s="15"/>
      <x:c r="H28" s="15"/>
    </x:row>
    <x:row r="29" ht="46" customHeight="1">
      <x:c r="A29" s="2"/>
      <x:c r="B29" s="2" t="str">
        <x:v>Koşul onayları: kayıt no / kişi / tarih</x:v>
      </x:c>
      <x:c r="C29" s="2"/>
      <x:c r="D29" s="15"/>
      <x:c r="E29" s="15"/>
      <x:c r="F29" s="15"/>
      <x:c r="G29" s="15"/>
      <x:c r="H29" s="15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 t="str">
        <x:v>Her araç için tek değerlendirme kaydı kullanın; kayıt, 7 puanın gerekçesini ve maliyet hesabını içersin.</x:v>
      </x:c>
      <x:c r="C31" s="2"/>
      <x:c r="D31" s="2"/>
      <x:c r="E31" s="2"/>
      <x:c r="F31" s="2"/>
      <x:c r="G31" s="2"/>
      <x:c r="H31" s="2"/>
    </x:row>
    <x:row r="32" ht="24" customHeight="1">
      <x:c r="A32" s="2"/>
      <x:c r="B32" s="2" t="str">
        <x:v>Koşullardan biri uygun değilse araç elenir. Tüm koşullar ve dayanaklar tamamlanınca karşılaştırılır.</x:v>
      </x:c>
      <x:c r="C32" s="2"/>
      <x:c r="D32" s="2"/>
      <x:c r="E32" s="2"/>
      <x:c r="F32" s="2"/>
      <x:c r="G32" s="2"/>
      <x:c r="H32" s="2"/>
    </x:row>
    <x:row r="33" ht="24" customHeight="1">
      <x:c r="A33" s="2"/>
      <x:c r="B33" s="2" t="str">
        <x:v>Kurum içi şartı: çalıştırma, yönetim, metaveri ve loglar. Kısa araç açıklamaları ikinci sekmededir.</x:v>
      </x:c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</x:sheetData>
  <x:conditionalFormatting sqref="C20:C20">
    <x:cfRule type="expression" dxfId="0" priority="1">
      <x:formula>C20&lt;&gt;100</x:formula>
    </x:cfRule>
  </x:conditionalFormatting>
  <x:conditionalFormatting sqref="D23:H25">
    <x:cfRule type="cellIs" dxfId="1" priority="2" operator="equal">
      <x:formula>"Uygun değil"</x:formula>
    </x:cfRule>
  </x:conditionalFormatting>
  <x:conditionalFormatting sqref="D9:H9">
    <x:cfRule type="cellIs" dxfId="2" priority="3" operator="equal">
      <x:formula>"Elendi"</x:formula>
    </x:cfRule>
  </x:conditionalFormatting>
  <x:dataValidations count="3">
    <x:dataValidation type="decimal" operator="between" sqref="D13:H19">
      <x:formula1>0</x:formula1>
      <x:formula2>5</x:formula2>
    </x:dataValidation>
    <x:dataValidation type="whole" operator="between" sqref="C13:C19">
      <x:formula1>0</x:formula1>
      <x:formula2>100</x:formula2>
    </x:dataValidation>
    <x:dataValidation type="list" sqref="D23:H25">
      <x:formula1>"Bekliyor,Uygun,Uygun değil"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7" hidden="0" customWidth="1"/>
    <x:col min="3" max="3" width="42" hidden="0" customWidth="1"/>
    <x:col min="4" max="4" width="47" hidden="0" customWidth="1"/>
    <x:col min="5" max="5" width="47" hidden="0" customWidth="1"/>
  </x:cols>
  <x:sheetData>
    <x:row r="1" ht="24" customHeight="1">
      <x:c r="A1" s="2"/>
      <x:c r="B1" s="2"/>
      <x:c r="C1" s="2"/>
      <x:c r="D1" s="2"/>
      <x:c r="E1" s="2"/>
    </x:row>
    <x:row r="2" ht="30" customHeight="1">
      <x:c r="A2" s="2"/>
      <x:c r="B2" s="3" t="str">
        <x:v>Araçların kısa karşılaştırması</x:v>
      </x:c>
      <x:c r="C2" s="2"/>
      <x:c r="D2" s="2"/>
      <x:c r="E2" s="2"/>
    </x:row>
    <x:row r="3" ht="24" customHeight="1">
      <x:c r="A3" s="2"/>
      <x:c r="B3" s="2" t="str">
        <x:v>28.09.2026 araştırmasının sade özeti. Sürüm, lisans ve destek teklif aşamasında doğrulanmalı.</x:v>
      </x:c>
      <x:c r="C3" s="2"/>
      <x:c r="D3" s="2"/>
      <x:c r="E3" s="2"/>
    </x:row>
    <x:row r="4" ht="24" customHeight="1">
      <x:c r="A4" s="2"/>
      <x:c r="B4" s="2"/>
      <x:c r="C4" s="2"/>
      <x:c r="D4" s="2"/>
      <x:c r="E4" s="2"/>
    </x:row>
    <x:row r="5" ht="40" customHeight="1">
      <x:c r="A5" s="2"/>
      <x:c r="B5" s="7" t="str">
        <x:v>Araç</x:v>
      </x:c>
      <x:c r="C5" s="7" t="str">
        <x:v>Bu banka için değerlendirme odağı</x:v>
      </x:c>
      <x:c r="D5" s="7" t="str">
        <x:v>Çözümde ayrıca netleşecekler</x:v>
      </x:c>
      <x:c r="E5" s="7" t="str">
        <x:v>Karar öncesi temel kontrol</x:v>
      </x:c>
    </x:row>
    <x:row r="6" ht="75" customHeight="1">
      <x:c r="A6" s="2"/>
      <x:c r="B6" s="16" t="str">
        <x:v>Informatica PowerCenter</x:v>
      </x:c>
      <x:c r="C6" s="16" t="str">
        <x:v>Görsel ETL geliştirme ve farklı kaynakların entegrasyonu.</x:v>
      </x:c>
      <x:c r="D6" s="16" t="str">
        <x:v>Bağlayıcılar, CDC, izleme ve destek kapsamı. Mevcut TDM lisansı entegrasyon lisansı sayılmaz.</x:v>
      </x:c>
      <x:c r="E6" s="16" t="str">
        <x:v>Tamamen yerel sürüm ve destek teklifi. Oracle üzerinde çalıştırılabilen dönüşümler. Bulut yönetimli seçenekler kapsam dışı.</x:v>
      </x:c>
    </x:row>
    <x:row r="7" ht="75" customHeight="1">
      <x:c r="A7" s="2"/>
      <x:c r="B7" s="16" t="str">
        <x:v>Oracle ODI</x:v>
      </x:c>
      <x:c r="C7" s="16" t="str">
        <x:v>Oracle ağırlıklı ortam ve SQL dönüşümleri için başlangıç adayı.</x:v>
      </x:c>
      <x:c r="D7" s="16" t="str">
        <x:v>Yerel ajanlar, depolar, iş zamanlayıcısı ve gerekiyorsa CDC.</x:v>
      </x:c>
      <x:c r="E7" s="16" t="str">
        <x:v>Gerçek yük altında üretilen SQL, kaynak etkisi, kurtarma ve lisanslar. GoldenGate dahil varsayılmaz.</x:v>
      </x:c>
    </x:row>
    <x:row r="8" ht="75" customHeight="1">
      <x:c r="A8" s="2"/>
      <x:c r="B8" s="16" t="str">
        <x:v>dbt Core v1 + Oracle</x:v>
      </x:c>
      <x:c r="C8" s="16" t="str">
        <x:v>SQL ile dönüşüm, test ve sürüm kontrollü geliştirme.</x:v>
      </x:c>
      <x:c r="D8" s="16" t="str">
        <x:v>Veri alımı / CDC, yerel zamanlayıcı, Git/CI ve operasyon desteği.</x:v>
      </x:c>
      <x:c r="E8" s="16" t="str">
        <x:v>Sabitlenmiş Core v1 / dbt-oracle / Oracle sürümlerinin uyumu ve destek sorumlusu. Başka dbt sürümleri ayrıca incelenmeli.</x:v>
      </x:c>
    </x:row>
    <x:row r="9" ht="75" customHeight="1">
      <x:c r="A9" s="2"/>
      <x:c r="B9" s="16" t="str">
        <x:v>Cloudera (kurum içi)</x:v>
      </x:c>
      <x:c r="C9" s="16" t="str">
        <x:v>Dağıtık veri işleme ve depolama ihtiyacı varsa platform adayı.</x:v>
      </x:c>
      <x:c r="D9" s="16" t="str">
        <x:v>Kesin yerel ürün paketi, küme, depolama, aktarım ve Exadata’ya yükleme.</x:v>
      </x:c>
      <x:c r="E9" s="16" t="str">
        <x:v>Ek platform ihtiyacının iş gerekçesi, işletim ekibi, toplam maliyet ve tüm servislerin yerel kalması.</x:v>
      </x:c>
    </x:row>
    <x:row r="10" ht="75" customHeight="1">
      <x:c r="A10" s="2"/>
      <x:c r="B10" s="16" t="str">
        <x:v>Apache Spark (kurum içi)</x:v>
      </x:c>
      <x:c r="C10" s="16" t="str">
        <x:v>Dağıtık işleme gerektiren işler için bir araya getirilecek çözüm.</x:v>
      </x:c>
      <x:c r="D10" s="16" t="str">
        <x:v>Küme, veri alımı, zamanlama, katalog, güvenlik, izleme ve destek.</x:v>
      </x:c>
      <x:c r="E10" s="16" t="str">
        <x:v>Kaynak bağlantı yükü, Oracle’a yazma, tekrar çalıştırma ve mühendislik eforu. İşleme motoru tüm ETL hizmetini kapsamaz.</x:v>
      </x:c>
    </x:row>
    <x:row r="11" ht="24" customHeight="1">
      <x:c r="A11" s="2"/>
      <x:c r="B11" s="2"/>
      <x:c r="C11" s="2"/>
      <x:c r="D11" s="2"/>
      <x:c r="E11" s="2"/>
    </x:row>
    <x:row r="12" ht="24" customHeight="1">
      <x:c r="A12" s="2"/>
      <x:c r="B12" s="14" t="str">
        <x:v>Ölçütleri nasıl puanlayacağız?</x:v>
      </x:c>
      <x:c r="C12" s="2"/>
      <x:c r="D12" s="2"/>
      <x:c r="E12" s="2"/>
    </x:row>
    <x:row r="13" ht="24" customHeight="1">
      <x:c r="A13" s="2"/>
      <x:c r="B13" s="2"/>
      <x:c r="C13" s="2"/>
      <x:c r="D13" s="2"/>
      <x:c r="E13" s="2"/>
    </x:row>
    <x:row r="14" ht="40" customHeight="1">
      <x:c r="A14" s="2"/>
      <x:c r="B14" s="7" t="str">
        <x:v>Ölçüt</x:v>
      </x:c>
      <x:c r="C14" s="7" t="str">
        <x:v>Bakılacak sonuç</x:v>
      </x:c>
      <x:c r="D14" s="7" t="str">
        <x:v>Dayanak</x:v>
      </x:c>
      <x:c r="E14" s="7" t="str">
        <x:v>Önceki ölçütler</x:v>
      </x:c>
    </x:row>
    <x:row r="15" ht="48" customHeight="1">
      <x:c r="A15" s="2"/>
      <x:c r="B15" s="16" t="str">
        <x:v>Oracle / Exadata</x:v>
      </x:c>
      <x:c r="C15" s="16" t="str">
        <x:v>Kaynak ve hedef yükü, bitiş süresi, sorgu verimliliği.</x:v>
      </x:c>
      <x:c r="D15" s="16" t="str">
        <x:v>Aynı veriyle uçtan uca yük testi.</x:v>
      </x:c>
      <x:c r="E15" s="16" t="str">
        <x:v>C01 → 13</x:v>
      </x:c>
    </x:row>
    <x:row r="16" ht="48" customHeight="1">
      <x:c r="A16" s="2"/>
      <x:c r="B16" s="16" t="str">
        <x:v>Veri aktarımı</x:v>
      </x:c>
      <x:c r="C16" s="16" t="str">
        <x:v>Gerekli Oracle, dosya ve API akışları; gerekli büyüme ihtiyacı.</x:v>
      </x:c>
      <x:c r="D16" s="16" t="str">
        <x:v>Aynı kaynak ve çıktı sözleşmesiyle entegrasyon denemesi.</x:v>
      </x:c>
      <x:c r="E16" s="16" t="str">
        <x:v>C02 + C10 → 8 + 3 = 11</x:v>
      </x:c>
    </x:row>
    <x:row r="17" ht="48" customHeight="1">
      <x:c r="A17" s="2"/>
      <x:c r="B17" s="16" t="str">
        <x:v>Doğruluk ve tarihçe</x:v>
      </x:c>
      <x:c r="C17" s="16" t="str">
        <x:v>Güncelleme, silme, geçmiş düzeltme ve mutabakat.</x:v>
      </x:c>
      <x:c r="D17" s="16" t="str">
        <x:v>İş biriminin kabul ettiği kayıt ve tutar kontrolleri.</x:v>
      </x:c>
      <x:c r="E17" s="16" t="str">
        <x:v>C03 + C04 → 12 + 8 = 20</x:v>
      </x:c>
    </x:row>
    <x:row r="18" ht="48" customHeight="1">
      <x:c r="A18" s="2"/>
      <x:c r="B18" s="16" t="str">
        <x:v>İşletim ve kurtarma</x:v>
      </x:c>
      <x:c r="C18" s="16" t="str">
        <x:v>Hata sonrası devam, felaket kurtarma, günlük işletim eforu.</x:v>
      </x:c>
      <x:c r="D18" s="16" t="str">
        <x:v>Kayıp / mükerrer çıktı olmadan yeniden çalışma ve ekip denemesi.</x:v>
      </x:c>
      <x:c r="E18" s="16" t="str">
        <x:v>C05 + C09 → 12 + 6 = 18</x:v>
      </x:c>
    </x:row>
    <x:row r="19" ht="48" customHeight="1">
      <x:c r="A19" s="2"/>
      <x:c r="B19" s="16" t="str">
        <x:v>Güvenlik ve iz</x:v>
      </x:c>
      <x:c r="C19" s="16" t="str">
        <x:v>Erişim, gizli bilgiler, denetim izi, kaynaktan rapora izlenebilirlik.</x:v>
      </x:c>
      <x:c r="D19" s="16" t="str">
        <x:v>Güvenlik incelemesi, veri kalite ve yayın kayıtları.</x:v>
      </x:c>
      <x:c r="E19" s="16" t="str">
        <x:v>C06 + C07 → 8 + 8 = 16</x:v>
      </x:c>
    </x:row>
    <x:row r="20" ht="48" customHeight="1">
      <x:c r="A20" s="2"/>
      <x:c r="B20" s="16" t="str">
        <x:v>Geliştirme ve destek</x:v>
      </x:c>
      <x:c r="C20" s="16" t="str">
        <x:v>Test, sürüm geçişi, geri dönüş, yükseltme, destek ve çıkış.</x:v>
      </x:c>
      <x:c r="D20" s="16" t="str">
        <x:v>Bankanın ekibiyle değişiklik denemesi ve yazılı destek kapsamı.</x:v>
      </x:c>
      <x:c r="E20" s="16" t="str">
        <x:v>C08 + C11 → 7 + 5 = 12</x:v>
      </x:c>
    </x:row>
    <x:row r="21" ht="48" customHeight="1">
      <x:c r="A21" s="2"/>
      <x:c r="B21" s="16" t="str">
        <x:v>Toplam maliyet</x:v>
      </x:c>
      <x:c r="C21" s="16" t="str">
        <x:v>Kurulum + 5 yıl lisans, altyapı, ekip, destek ve çıkış.</x:v>
      </x:c>
      <x:c r="D21" s="16" t="str">
        <x:v>Aynı kapsam ve para biriminde teklif / maliyet hesabı.</x:v>
      </x:c>
      <x:c r="E21" s="16" t="str">
        <x:v>C12 → 10</x:v>
      </x:c>
    </x:row>
    <x:row r="22" ht="24" customHeight="1">
      <x:c r="A22" s="2"/>
      <x:c r="B22" s="2"/>
      <x:c r="C22" s="2"/>
      <x:c r="D22" s="2"/>
      <x:c r="E22" s="2"/>
    </x:row>
    <x:row r="23" ht="24" customHeight="1">
      <x:c r="A23" s="2"/>
      <x:c r="B23" s="2" t="str">
        <x:v>3 puan: kabul edilen gereksinimi karşılar. 4 ve 5 için ölçülebilir farkı testten önce tanımlayın.</x:v>
      </x:c>
      <x:c r="C23" s="2"/>
      <x:c r="D23" s="2"/>
      <x:c r="E23" s="2"/>
    </x:row>
    <x:row r="24" ht="24" customHeight="1">
      <x:c r="A24" s="2"/>
      <x:c r="B24" s="2" t="str">
        <x:v>Maliyet puanında yüksek puan, aynı kapsamda daha düşük toplam maliyeti ifade eder.</x:v>
      </x:c>
      <x:c r="C24" s="2"/>
      <x:c r="D24" s="2"/>
      <x:c r="E24" s="2"/>
    </x:row>
    <x:row r="25" ht="24" customHeight="1">
      <x:c r="A25" s="2"/>
      <x:c r="B25" s="2" t="str">
        <x:v>Ağırlıklar önceki 12 ölçütün birleştirilmiş toplamıdır; tüm adaylar için aynı ağırlıklar kullanılır.</x:v>
      </x:c>
      <x:c r="C25" s="2"/>
      <x:c r="D25" s="2"/>
      <x:c r="E25" s="2"/>
    </x:row>
    <x:row r="26" ht="24" customHeight="1">
      <x:c r="A26" s="2"/>
      <x:c r="B26" s="2" t="str">
        <x:v>Kaynak bağlantıları araç adlarının hücre notlarında ve ETL Tool Evaluation notundadır.</x:v>
      </x:c>
      <x:c r="C26" s="2"/>
      <x:c r="D26" s="2"/>
      <x:c r="E26" s="2"/>
    </x:row>
    <x:row r="27" ht="24" customHeight="1">
      <x:c r="A27" s="2"/>
      <x:c r="B27" s="2" t="str">
        <x:v>Bu özette adaylara test sonucu veya fiyat atanmamıştır. Boş puan, sıfır puan değildir.</x:v>
      </x:c>
      <x:c r="C27" s="2"/>
      <x:c r="D27" s="2"/>
      <x:c r="E27" s="2"/>
    </x:row>
    <x:row r="28" ht="24" customHeight="1">
      <x:c r="A28" s="2"/>
      <x:c r="B28" s="2"/>
      <x:c r="C28" s="2"/>
      <x:c r="D28" s="2"/>
      <x:c r="E28" s="2"/>
    </x:row>
    <x:row r="29" ht="24" customHeight="1">
      <x:c r="A29" s="2"/>
      <x:c r="B29" s="2"/>
      <x:c r="C29" s="2"/>
      <x:c r="D29" s="2"/>
      <x:c r="E29" s="2"/>
    </x:row>
  </x:sheetData>
  <x:pageMargins left="0.7" right="0.7" top="0.75" bottom="0.75" header="0.3" footer="0.3"/>
  <x:legacyDrawing xmlns:r="http://schemas.openxmlformats.org/officeDocument/2006/relationships" r:id="R2ac0a86046684efb"/>
</x:worksheet>
</file>