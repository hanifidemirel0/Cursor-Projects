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3494446b1f04962" /></Relationships>
</file>

<file path=xl/workbook.xml><?xml version="1.0" encoding="utf-8"?>
<x:workbook xmlns:x="http://schemas.openxmlformats.org/spreadsheetml/2006/main">
  <x:sheets>
    <x:sheet xmlns:r="http://schemas.openxmlformats.org/officeDocument/2006/relationships" name="Scorecard" sheetId="1" r:id="R465c33a6f7444ce9"/>
    <x:sheet xmlns:r="http://schemas.openxmlformats.org/officeDocument/2006/relationships" name="Comparison" sheetId="2" r:id="R50a5ccec58f048ad"/>
    <x:sheet xmlns:r="http://schemas.openxmlformats.org/officeDocument/2006/relationships" name="Sources" sheetId="3" r:id="R17f016d5a138473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
  </x:numFmts>
  <x:fonts count="13">
    <x:font>
      <x:sz val="11"/>
      <x:name val="Carlito"/>
    </x:font>
    <x:font>
      <x:sz val="11"/>
      <x:color rgb="FF172B4D"/>
      <x:name val="Arial"/>
    </x:font>
    <x:font>
      <x:b/>
      <x:sz val="16"/>
      <x:color rgb="FF172B4D"/>
      <x:name val="Arial"/>
    </x:font>
    <x:font>
      <x:b/>
      <x:sz val="11"/>
      <x:color rgb="FFFFFFFF"/>
      <x:name val="Arial"/>
    </x:font>
    <x:font>
      <x:b/>
      <x:sz val="14"/>
      <x:color rgb="FF172B4D"/>
      <x:name val="Arial"/>
    </x:font>
    <x:font>
      <x:b/>
      <x:sz val="11"/>
      <x:color rgb="FF172B4D"/>
      <x:name val="Arial"/>
    </x:font>
    <x:font>
      <x:sz val="10"/>
      <x:color rgb="FF51647F"/>
      <x:name val="Arial"/>
    </x:font>
    <x:font>
      <x:b/>
      <x:sz val="13"/>
      <x:color rgb="FF172B4D"/>
      <x:name val="Arial"/>
    </x:font>
    <x:font>
      <x:sz val="11"/>
      <x:color rgb="FF172B4D"/>
      <x:name val="Arial"/>
    </x:font>
    <x:font>
      <x:sz val="11"/>
      <x:color rgb="FF172B4D"/>
      <x:name val="Arial"/>
    </x:font>
    <x:font>
      <x:sz val="10"/>
      <x:color rgb="FF344966"/>
      <x:name val="Arial"/>
    </x:font>
    <x:font>
      <x:b/>
      <x:sz val="14"/>
      <x:color rgb="FF243957"/>
      <x:name val="Arial"/>
    </x:font>
    <x:font>
      <x:sz val="11"/>
      <x:color rgb="FF243957"/>
      <x:name val="Arial"/>
    </x:font>
  </x:fonts>
  <x:fills count="15">
    <x:fill>
      <x:patternFill patternType="none"/>
    </x:fill>
    <x:fill>
      <x:patternFill patternType="gray125"/>
    </x:fill>
    <x:fill>
      <x:patternFill patternType="solid">
        <x:fgColor rgb="FF253858"/>
      </x:patternFill>
    </x:fill>
    <x:fill>
      <x:patternFill patternType="solid">
        <x:fgColor rgb="FFFFF3CC"/>
      </x:patternFill>
    </x:fill>
    <x:fill>
      <x:patternFill patternType="solid">
        <x:fgColor rgb="FFF0F3F7"/>
      </x:patternFill>
    </x:fill>
    <x:fill>
      <x:patternFill patternType="solid">
        <x:fgColor rgb="FF253858"/>
      </x:patternFill>
    </x:fill>
    <x:fill>
      <x:patternFill patternType="solid">
        <x:fgColor rgb="FFF0F3F7"/>
      </x:patternFill>
    </x:fill>
    <x:fill>
      <x:patternFill patternType="solid">
        <x:fgColor rgb="FFFFFFFF"/>
      </x:patternFill>
    </x:fill>
    <x:fill>
      <x:patternFill patternType="solid">
        <x:fgColor rgb="FFFFF3CC"/>
      </x:patternFill>
    </x:fill>
    <x:fill>
      <x:patternFill patternType="solid">
        <x:fgColor rgb="FF253858"/>
      </x:patternFill>
    </x:fill>
    <x:fill>
      <x:patternFill patternType="solid">
        <x:fgColor rgb="FFFFFFFF"/>
      </x:patternFill>
    </x:fill>
    <x:fill>
      <x:patternFill patternType="solid">
        <x:fgColor rgb="FFFFF3CC"/>
      </x:patternFill>
    </x:fill>
    <x:fill>
      <x:patternFill patternType="solid">
        <x:fgColor rgb="FF253858"/>
      </x:patternFill>
    </x:fill>
    <x:fill>
      <x:patternFill patternType="solid">
        <x:fgColor rgb="FF243957"/>
      </x:patternFill>
    </x:fill>
    <x:fill>
      <x:patternFill patternType="solid">
        <x:fgColor rgb="FFEFF3F8"/>
      </x:patternFill>
    </x:fill>
  </x:fills>
  <x:borders count="1">
    <x:border/>
  </x:borders>
  <x:cellStyleXfs count="1">
    <x:xf numFmtId="0" fontId="0" fillId="0" borderId="0"/>
  </x:cellStyleXfs>
  <x:cellXfs count="12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200" fontId="1" fillId="3"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4" fillId="0" borderId="0" xfId="0" applyNumberFormat="1" applyFont="1" applyFill="1" applyBorder="1" applyAlignment="1">
      <x:alignment vertical="center"/>
    </x:xf>
    <x:xf numFmtId="0" fontId="1" fillId="0"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7" fillId="0" borderId="0" xfId="0" applyNumberFormat="1" applyFont="1" applyFill="1" applyBorder="1" applyAlignment="1">
      <x:alignment vertical="top" wrapText="1"/>
    </x:xf>
    <x:xf numFmtId="0" fontId="7" fillId="0" borderId="0" xfId="0" applyNumberFormat="1" applyFont="1" applyFill="1" applyBorder="1" applyAlignment="1">
      <x:alignment vertical="top" wrapText="0"/>
    </x:xf>
    <x:xf numFmtId="0" fontId="1" fillId="5" borderId="0" xfId="0" applyNumberFormat="1" applyFont="1" applyFill="1" applyBorder="1" applyAlignment="1">
      <x:alignment vertical="top" wrapText="1"/>
    </x:xf>
    <x:xf numFmtId="0" fontId="3" fillId="5" borderId="0" xfId="0" applyNumberFormat="1" applyFont="1" applyFill="1" applyBorder="1" applyAlignment="1">
      <x:alignment vertical="top" wrapText="1"/>
    </x:xf>
    <x:xf numFmtId="0" fontId="3" fillId="5" borderId="0" xfId="0" applyNumberFormat="1" applyFont="1" applyFill="1" applyBorder="1" applyAlignment="1">
      <x:alignment horizontal="center" vertical="top" wrapText="1"/>
    </x:xf>
    <x:xf numFmtId="0" fontId="3" fillId="5" borderId="0" xfId="0" applyNumberFormat="1" applyFont="1" applyFill="1" applyBorder="1" applyAlignment="1">
      <x:alignment horizontal="center" vertical="center" wrapText="1"/>
    </x:xf>
    <x:xf numFmtId="0" fontId="1" fillId="6" borderId="0" xfId="0" applyNumberFormat="1" applyFont="1" applyFill="1" applyBorder="1" applyAlignment="1">
      <x:alignment vertical="top" wrapText="1"/>
    </x:xf>
    <x:xf numFmtId="201" fontId="1" fillId="3" borderId="0" xfId="0" applyNumberFormat="1" applyFont="1" applyFill="1" applyBorder="1" applyAlignment="1">
      <x:alignment vertical="center"/>
    </x:xf>
    <x:xf numFmtId="201" fontId="0" fillId="0" borderId="0" xfId="0" applyNumberFormat="1" applyFont="1" applyFill="1" applyBorder="1"/>
    <x:xf numFmtId="201" fontId="3" fillId="2" borderId="0" xfId="0" applyNumberFormat="1" applyFont="1" applyFill="1" applyBorder="1" applyAlignment="1">
      <x:alignment horizontal="center" vertical="center" wrapText="1"/>
    </x:xf>
    <x:xf numFmtId="0" fontId="6" fillId="0" borderId="0" xfId="0" applyNumberFormat="1" applyFont="1" applyFill="1" applyBorder="1" applyAlignment="1">
      <x:alignment vertical="top" wrapText="1"/>
    </x:xf>
    <x:xf numFmtId="0" fontId="0" fillId="7" borderId="0" xfId="0" applyNumberFormat="1" applyFont="1" applyFill="1" applyBorder="1"/>
    <x:xf numFmtId="201" fontId="0" fillId="7" borderId="0" xfId="0" applyNumberFormat="1" applyFont="1" applyFill="1" applyBorder="1"/>
    <x:xf numFmtId="0" fontId="3" fillId="7" borderId="0" xfId="0" applyNumberFormat="1" applyFont="1" applyFill="1" applyBorder="1" applyAlignment="1">
      <x:alignment horizontal="center" vertical="center" wrapText="1"/>
    </x:xf>
    <x:xf numFmtId="201" fontId="3" fillId="7" borderId="0" xfId="0" applyNumberFormat="1" applyFont="1" applyFill="1" applyBorder="1" applyAlignment="1">
      <x:alignment horizontal="center" vertical="center" wrapText="1"/>
    </x:xf>
    <x:xf numFmtId="0" fontId="1" fillId="7" borderId="0" xfId="0" applyNumberFormat="1" applyFont="1" applyFill="1" applyBorder="1" applyAlignment="1">
      <x:alignment vertical="center"/>
    </x:xf>
    <x:xf numFmtId="0" fontId="5" fillId="7" borderId="0" xfId="0" applyNumberFormat="1" applyFont="1" applyFill="1" applyBorder="1" applyAlignment="1">
      <x:alignment vertical="center"/>
    </x:xf>
    <x:xf numFmtId="0" fontId="1" fillId="7" borderId="0" xfId="0" applyNumberFormat="1" applyFont="1" applyFill="1" applyBorder="1" applyAlignment="1">
      <x:alignment vertical="center" wrapText="1"/>
    </x:xf>
    <x:xf numFmtId="0" fontId="8" fillId="7" borderId="0" xfId="0" applyNumberFormat="1" applyFont="1" applyFill="1" applyBorder="1"/>
    <x:xf numFmtId="201" fontId="8" fillId="7" borderId="0" xfId="0" applyNumberFormat="1" applyFont="1" applyFill="1" applyBorder="1"/>
    <x:xf numFmtId="0" fontId="8" fillId="7" borderId="0" xfId="0" applyNumberFormat="1" applyFont="1" applyFill="1" applyBorder="1" applyAlignment="1">
      <x:alignment horizontal="center" vertical="center" wrapText="1"/>
    </x:xf>
    <x:xf numFmtId="201" fontId="8" fillId="7" borderId="0" xfId="0" applyNumberFormat="1" applyFont="1" applyFill="1" applyBorder="1" applyAlignment="1">
      <x:alignment horizontal="center" vertical="center" wrapText="1"/>
    </x:xf>
    <x:xf numFmtId="0" fontId="8" fillId="7" borderId="0" xfId="0" applyNumberFormat="1" applyFont="1" applyFill="1" applyBorder="1" applyAlignment="1">
      <x:alignment vertical="center"/>
    </x:xf>
    <x:xf numFmtId="0" fontId="8" fillId="7" borderId="0" xfId="0" applyNumberFormat="1" applyFont="1" applyFill="1" applyBorder="1" applyAlignment="1">
      <x:alignment vertical="center" wrapText="1"/>
    </x:xf>
    <x:xf numFmtId="0" fontId="8" fillId="7" borderId="0" xfId="0" applyNumberFormat="1" applyFont="1" applyFill="1" applyBorder="1" applyAlignment="1">
      <x:alignment wrapText="0"/>
    </x:xf>
    <x:xf numFmtId="201" fontId="8" fillId="7" borderId="0" xfId="0" applyNumberFormat="1" applyFont="1" applyFill="1" applyBorder="1" applyAlignment="1">
      <x:alignment wrapText="0"/>
    </x:xf>
    <x:xf numFmtId="0" fontId="8" fillId="7" borderId="0" xfId="0" applyNumberFormat="1" applyFont="1" applyFill="1" applyBorder="1" applyAlignment="1">
      <x:alignment horizontal="center" vertical="center" wrapText="0"/>
    </x:xf>
    <x:xf numFmtId="201" fontId="8" fillId="7" borderId="0" xfId="0" applyNumberFormat="1" applyFont="1" applyFill="1" applyBorder="1" applyAlignment="1">
      <x:alignment horizontal="center" vertical="center" wrapText="0"/>
    </x:xf>
    <x:xf numFmtId="0" fontId="8" fillId="7" borderId="0" xfId="0" applyNumberFormat="1" applyFont="1" applyFill="1" applyBorder="1" applyAlignment="1">
      <x:alignment vertical="center" wrapText="0"/>
    </x:xf>
    <x:xf numFmtId="0" fontId="8" fillId="7" borderId="0" xfId="0" applyNumberFormat="1" applyFont="1" applyFill="1" applyBorder="1" applyAlignment="1">
      <x:alignment horizontal="left" wrapText="0"/>
    </x:xf>
    <x:xf numFmtId="201" fontId="8" fillId="7" borderId="0" xfId="0" applyNumberFormat="1" applyFont="1" applyFill="1" applyBorder="1" applyAlignment="1">
      <x:alignment horizontal="left" wrapText="0"/>
    </x:xf>
    <x:xf numFmtId="0" fontId="8" fillId="7" borderId="0" xfId="0" applyNumberFormat="1" applyFont="1" applyFill="1" applyBorder="1" applyAlignment="1">
      <x:alignment horizontal="left" vertical="center" wrapText="0"/>
    </x:xf>
    <x:xf numFmtId="201" fontId="8" fillId="7" borderId="0" xfId="0" applyNumberFormat="1" applyFont="1" applyFill="1" applyBorder="1" applyAlignment="1">
      <x:alignment horizontal="left" vertical="center" wrapText="0"/>
    </x:xf>
    <x:xf numFmtId="0" fontId="8" fillId="7" borderId="0" xfId="0" applyNumberFormat="1" applyFont="1" applyFill="1" applyBorder="1" applyAlignment="1">
      <x:alignment horizontal="left" vertical="center" wrapText="1"/>
    </x:xf>
    <x:xf numFmtId="201" fontId="8" fillId="8" borderId="0" xfId="0" applyNumberFormat="1" applyFont="1" applyFill="1" applyBorder="1" applyAlignment="1">
      <x:alignment horizontal="left" vertical="center" wrapText="0"/>
    </x:xf>
    <x:xf numFmtId="0" fontId="8" fillId="8" borderId="0" xfId="0" applyNumberFormat="1" applyFont="1" applyFill="1" applyBorder="1" applyAlignment="1">
      <x:alignment horizontal="left" vertical="center" wrapText="0"/>
    </x:xf>
    <x:xf numFmtId="201" fontId="8" fillId="8" borderId="0" xfId="0" applyNumberFormat="1" applyFont="1" applyFill="1" applyBorder="1" applyAlignment="1">
      <x:alignment horizontal="right" vertical="center" wrapText="0"/>
    </x:xf>
    <x:xf numFmtId="0" fontId="8" fillId="8" borderId="0" xfId="0" applyNumberFormat="1" applyFont="1" applyFill="1" applyBorder="1" applyAlignment="1">
      <x:alignment horizontal="right" vertical="center" wrapText="0"/>
    </x:xf>
    <x:xf numFmtId="200" fontId="8" fillId="8" borderId="0" xfId="0" applyNumberFormat="1" applyFont="1" applyFill="1" applyBorder="1" applyAlignment="1">
      <x:alignment horizontal="right" vertical="center" wrapText="0"/>
    </x:xf>
    <x:xf numFmtId="0" fontId="5" fillId="7" borderId="0" xfId="0" applyNumberFormat="1" applyFont="1" applyFill="1" applyBorder="1" applyAlignment="1">
      <x:alignment horizontal="left" vertical="center" wrapText="0"/>
    </x:xf>
    <x:xf numFmtId="201" fontId="5" fillId="7" borderId="0" xfId="0" applyNumberFormat="1" applyFont="1" applyFill="1" applyBorder="1" applyAlignment="1">
      <x:alignment horizontal="left" vertical="center" wrapText="0"/>
    </x:xf>
    <x:xf numFmtId="201" fontId="5" fillId="7" borderId="0" xfId="0" applyNumberFormat="1" applyFont="1" applyFill="1" applyBorder="1" applyAlignment="1">
      <x:alignment horizontal="right" vertical="center" wrapText="0"/>
    </x:xf>
    <x:xf numFmtId="0" fontId="8" fillId="9" borderId="0" xfId="0" applyNumberFormat="1" applyFont="1" applyFill="1" applyBorder="1" applyAlignment="1">
      <x:alignment horizontal="left" vertical="center" wrapText="0"/>
    </x:xf>
    <x:xf numFmtId="0" fontId="3" fillId="9" borderId="0" xfId="0" applyNumberFormat="1" applyFont="1" applyFill="1" applyBorder="1" applyAlignment="1">
      <x:alignment horizontal="left" vertical="center" wrapText="0"/>
    </x:xf>
    <x:xf numFmtId="0" fontId="3" fillId="9" borderId="0" xfId="0" applyNumberFormat="1" applyFont="1" applyFill="1" applyBorder="1" applyAlignment="1">
      <x:alignment horizontal="left" vertical="center" wrapText="1"/>
    </x:xf>
    <x:xf numFmtId="0" fontId="3" fillId="9"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left" vertical="center" wrapText="1"/>
    </x:xf>
    <x:xf numFmtId="0" fontId="1" fillId="10" borderId="0" xfId="0" applyNumberFormat="1" applyFont="1" applyFill="1" applyBorder="1" applyAlignment="1">
      <x:alignment horizontal="left" vertical="center" wrapText="1"/>
    </x:xf>
    <x:xf numFmtId="201" fontId="1" fillId="10" borderId="0" xfId="0" applyNumberFormat="1" applyFont="1" applyFill="1" applyBorder="1" applyAlignment="1">
      <x:alignment horizontal="right" vertical="center" wrapText="0"/>
    </x:xf>
    <x:xf numFmtId="200" fontId="1" fillId="10" borderId="0" xfId="0" applyNumberFormat="1" applyFont="1" applyFill="1" applyBorder="1" applyAlignment="1">
      <x:alignment horizontal="right" vertical="center" wrapText="0"/>
    </x:xf>
    <x:xf numFmtId="0" fontId="5" fillId="10" borderId="0" xfId="0" applyNumberFormat="1" applyFont="1" applyFill="1" applyBorder="1" applyAlignment="1">
      <x:alignment horizontal="left" vertical="center" wrapText="0"/>
    </x:xf>
    <x:xf numFmtId="201" fontId="5" fillId="10" borderId="0" xfId="0" applyNumberFormat="1" applyFont="1" applyFill="1" applyBorder="1" applyAlignment="1">
      <x:alignment horizontal="right" vertical="center" wrapText="0"/>
    </x:xf>
    <x:xf numFmtId="0" fontId="1" fillId="10" borderId="0" xfId="0" applyNumberFormat="1" applyFont="1" applyFill="1" applyBorder="1" applyAlignment="1">
      <x:alignment horizontal="left" vertical="center" wrapText="0"/>
    </x:xf>
    <x:xf numFmtId="0" fontId="3" fillId="10" borderId="0" xfId="0" applyNumberFormat="1" applyFont="1" applyFill="1" applyBorder="1" applyAlignment="1">
      <x:alignment horizontal="center" vertical="center" wrapText="1"/>
    </x:xf>
    <x:xf numFmtId="0" fontId="9" fillId="10" borderId="0" xfId="0" applyNumberFormat="1" applyFont="1" applyFill="1" applyBorder="1" applyAlignment="1">
      <x:alignment horizontal="left" vertical="center" wrapText="1"/>
    </x:xf>
    <x:xf numFmtId="201" fontId="9" fillId="10" borderId="0" xfId="0" applyNumberFormat="1" applyFont="1" applyFill="1" applyBorder="1" applyAlignment="1">
      <x:alignment horizontal="right" vertical="center" wrapText="0"/>
    </x:xf>
    <x:xf numFmtId="200" fontId="9" fillId="10" borderId="0" xfId="0" applyNumberFormat="1" applyFont="1" applyFill="1" applyBorder="1" applyAlignment="1">
      <x:alignment horizontal="right" vertical="center" wrapText="0"/>
    </x:xf>
    <x:xf numFmtId="0" fontId="9" fillId="10" borderId="0" xfId="0" applyNumberFormat="1" applyFont="1" applyFill="1" applyBorder="1" applyAlignment="1">
      <x:alignment horizontal="left" vertical="center" wrapText="0"/>
    </x:xf>
    <x:xf numFmtId="0" fontId="9" fillId="10" borderId="0" xfId="0" applyNumberFormat="1" applyFont="1" applyFill="1" applyBorder="1" applyAlignment="1">
      <x:alignment horizontal="center" vertical="center" wrapText="1"/>
    </x:xf>
    <x:xf numFmtId="0" fontId="9" fillId="10" borderId="0" xfId="0" applyNumberFormat="1" applyFont="1" applyFill="1" applyBorder="1" applyAlignment="1">
      <x:alignment horizontal="center" vertical="center" wrapText="0"/>
    </x:xf>
    <x:xf numFmtId="201" fontId="9" fillId="10" borderId="0" xfId="0" applyNumberFormat="1" applyFont="1" applyFill="1" applyBorder="1" applyAlignment="1">
      <x:alignment horizontal="left" vertical="center" wrapText="0"/>
    </x:xf>
    <x:xf numFmtId="200" fontId="9" fillId="10" borderId="0" xfId="0" applyNumberFormat="1" applyFont="1" applyFill="1" applyBorder="1" applyAlignment="1">
      <x:alignment horizontal="left" vertical="center" wrapText="0"/>
    </x:xf>
    <x:xf numFmtId="201" fontId="9" fillId="11" borderId="0" xfId="0" applyNumberFormat="1" applyFont="1" applyFill="1" applyBorder="1" applyAlignment="1">
      <x:alignment horizontal="left" vertical="center" wrapText="0"/>
    </x:xf>
    <x:xf numFmtId="200" fontId="9" fillId="11" borderId="0" xfId="0" applyNumberFormat="1" applyFont="1" applyFill="1" applyBorder="1" applyAlignment="1">
      <x:alignment horizontal="left" vertical="center" wrapText="0"/>
    </x:xf>
    <x:xf numFmtId="201" fontId="9" fillId="11" borderId="0" xfId="0" applyNumberFormat="1" applyFont="1" applyFill="1" applyBorder="1" applyAlignment="1">
      <x:alignment horizontal="right" vertical="center" wrapText="0"/>
    </x:xf>
    <x:xf numFmtId="200" fontId="9" fillId="11" borderId="0" xfId="0" applyNumberFormat="1" applyFont="1" applyFill="1" applyBorder="1" applyAlignment="1">
      <x:alignment horizontal="right" vertical="center" wrapText="0"/>
    </x:xf>
    <x:xf numFmtId="201" fontId="5" fillId="10" borderId="0" xfId="0" applyNumberFormat="1" applyFont="1" applyFill="1" applyBorder="1" applyAlignment="1">
      <x:alignment horizontal="left" vertical="center" wrapText="0"/>
    </x:xf>
    <x:xf numFmtId="0" fontId="9" fillId="12" borderId="0" xfId="0" applyNumberFormat="1" applyFont="1" applyFill="1" applyBorder="1" applyAlignment="1">
      <x:alignment horizontal="left" vertical="center" wrapText="0"/>
    </x:xf>
    <x:xf numFmtId="0" fontId="3" fillId="12" borderId="0" xfId="0" applyNumberFormat="1" applyFont="1" applyFill="1" applyBorder="1" applyAlignment="1">
      <x:alignment horizontal="left" vertical="center" wrapText="0"/>
    </x:xf>
    <x:xf numFmtId="0" fontId="3" fillId="12" borderId="0" xfId="0" applyNumberFormat="1" applyFont="1" applyFill="1" applyBorder="1" applyAlignment="1">
      <x:alignment horizontal="left" vertical="center" wrapText="1"/>
    </x:xf>
    <x:xf numFmtId="0" fontId="3" fillId="12" borderId="0" xfId="0" applyNumberFormat="1" applyFont="1" applyFill="1" applyBorder="1" applyAlignment="1">
      <x:alignment horizontal="center" vertical="center" wrapText="1"/>
    </x:xf>
    <x:xf numFmtId="0" fontId="9" fillId="11" borderId="0" xfId="0" applyNumberFormat="1" applyFont="1" applyFill="1" applyBorder="1" applyAlignment="1">
      <x:alignment horizontal="left" vertical="center" wrapText="0"/>
    </x:xf>
    <x:xf numFmtId="0" fontId="9" fillId="11" borderId="0" xfId="0" applyNumberFormat="1" applyFont="1" applyFill="1" applyBorder="1" applyAlignment="1">
      <x:alignment horizontal="left" vertical="center" wrapText="1"/>
    </x:xf>
    <x:xf numFmtId="200" fontId="1" fillId="3" borderId="0" xfId="0" applyNumberFormat="1" applyFont="1" applyFill="1" applyBorder="1" applyAlignment="1">
      <x:alignment horizontal="right" vertical="center" wrapText="0"/>
    </x:xf>
    <x:xf numFmtId="0" fontId="0" fillId="0" borderId="0" xfId="0" applyNumberFormat="1" applyFont="1" applyFill="1" applyBorder="1" applyAlignment="1">
      <x:alignment wrapText="1"/>
    </x:xf>
    <x:xf numFmtId="0" fontId="0" fillId="13" borderId="0" xfId="0" applyNumberFormat="1" applyFont="1" applyFill="1" applyBorder="1" applyAlignment="1">
      <x:alignment wrapText="1"/>
    </x:xf>
    <x:xf numFmtId="0" fontId="3" fillId="13" borderId="0" xfId="0" applyNumberFormat="1" applyFont="1" applyFill="1" applyBorder="1" applyAlignment="1">
      <x:alignment wrapText="1"/>
    </x:xf>
    <x:xf numFmtId="0" fontId="10" fillId="0" borderId="0" xfId="0" applyNumberFormat="1" applyFont="1" applyFill="1" applyBorder="1" applyAlignment="1">
      <x:alignment wrapText="1"/>
    </x:xf>
    <x:xf numFmtId="0" fontId="1" fillId="3" borderId="0" xfId="0" applyNumberFormat="1" applyFont="1" applyFill="1" applyBorder="1" applyAlignment="1">
      <x:alignment horizontal="left" vertical="center" wrapText="1"/>
    </x:xf>
    <x:xf numFmtId="200" fontId="0"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11" fillId="0" borderId="0" xfId="0" applyNumberFormat="1" applyFont="1" applyFill="1" applyBorder="1" applyAlignment="1">
      <x:alignment vertical="top" wrapText="0"/>
    </x:xf>
    <x:xf numFmtId="0" fontId="11" fillId="0" borderId="0" xfId="0" applyNumberFormat="1" applyFont="1" applyFill="1" applyBorder="1" applyAlignment="1">
      <x:alignment vertical="center" wrapText="0"/>
    </x:xf>
    <x:xf numFmtId="0" fontId="12"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0"/>
    </x:xf>
    <x:xf numFmtId="0" fontId="12" fillId="0" borderId="0" xfId="0" applyNumberFormat="1" applyFont="1" applyFill="1" applyBorder="1" applyAlignment="1">
      <x:alignment vertical="center" wrapText="0"/>
    </x:xf>
    <x:xf numFmtId="0" fontId="1" fillId="13" borderId="0" xfId="0" applyNumberFormat="1" applyFont="1" applyFill="1" applyBorder="1" applyAlignment="1">
      <x:alignment vertical="top" wrapText="1"/>
    </x:xf>
    <x:xf numFmtId="0" fontId="3" fillId="13" borderId="0" xfId="0" applyNumberFormat="1" applyFont="1" applyFill="1" applyBorder="1" applyAlignment="1">
      <x:alignment vertical="top" wrapText="1"/>
    </x:xf>
    <x:xf numFmtId="0" fontId="3" fillId="13" borderId="0" xfId="0" applyNumberFormat="1" applyFont="1" applyFill="1" applyBorder="1" applyAlignment="1">
      <x:alignment horizontal="center" vertical="top" wrapText="1"/>
    </x:xf>
    <x:xf numFmtId="0" fontId="3" fillId="13" borderId="0" xfId="0" applyNumberFormat="1" applyFont="1" applyFill="1" applyBorder="1" applyAlignment="1">
      <x:alignment horizontal="center" vertical="center" wrapText="1"/>
    </x:xf>
    <x:xf numFmtId="0" fontId="12" fillId="14" borderId="0" xfId="0" applyNumberFormat="1" applyFont="1" applyFill="1" applyBorder="1" applyAlignment="1">
      <x:alignment vertical="top" wrapText="1"/>
    </x:xf>
    <x:xf numFmtId="0" fontId="11" fillId="0" borderId="0" xfId="0" applyNumberFormat="1" applyFont="1" applyFill="1" applyBorder="1" applyAlignment="1">
      <x:alignment wrapText="1"/>
    </x:xf>
    <x:xf numFmtId="0" fontId="12" fillId="0" borderId="0" xfId="0" applyNumberFormat="1" applyFont="1" applyFill="1" applyBorder="1" applyAlignment="1">
      <x:alignment wrapText="1"/>
    </x:xf>
    <x:xf numFmtId="0" fontId="12" fillId="0" borderId="0" xfId="0" applyNumberFormat="1" applyFont="1" applyFill="1" applyBorder="1" applyAlignment="1">
      <x:alignment vertical="center" wrapText="1"/>
    </x:xf>
    <x:xf numFmtId="0" fontId="12" fillId="0" borderId="0" xfId="0" applyNumberFormat="1" applyFont="1" applyFill="1" applyBorder="1"/>
    <x:xf numFmtId="200" fontId="12" fillId="0" borderId="0" xfId="0" applyNumberFormat="1" applyFont="1" applyFill="1" applyBorder="1" applyAlignment="1">
      <x:alignment wrapText="1"/>
    </x:xf>
    <x:xf numFmtId="200" fontId="12" fillId="0" borderId="0" xfId="0" applyNumberFormat="1" applyFont="1" applyFill="1" applyBorder="1" applyAlignment="1">
      <x:alignment vertical="center" wrapText="1"/>
    </x:xf>
    <x:xf numFmtId="0" fontId="3" fillId="13" borderId="0" xfId="0" applyNumberFormat="1" applyFont="1" applyFill="1" applyBorder="1" applyAlignment="1">
      <x:alignment vertical="center" wrapText="1"/>
    </x:xf>
  </x:cellXfs>
  <x:cellStyles count="1">
    <x:cellStyle name="Normal" xfId="0"/>
  </x:cellStyles>
  <x:dxfs count="9">
    <x:dxf>
      <x:font>
        <x:color rgb="FF9B1C1C"/>
      </x:font>
      <x:fill>
        <x:patternFill>
          <x:bgColor rgb="FFFDE7E7"/>
        </x:patternFill>
      </x:fill>
    </x:dxf>
    <x:dxf>
      <x:font>
        <x:color rgb="FF9B1C1C"/>
      </x:font>
      <x:fill>
        <x:patternFill>
          <x:bgColor rgb="FFFDE7E7"/>
        </x:patternFill>
      </x:fill>
    </x:dxf>
    <x:dxf>
      <x:font>
        <x:color rgb="FF9B1C1C"/>
      </x:font>
      <x:fill>
        <x:patternFill>
          <x:bgColor rgb="FFFDE7E7"/>
        </x:patternFill>
      </x:fill>
    </x:dxf>
    <x:dxf>
      <x:font>
        <x:color rgb="FF9B1C1C"/>
      </x:font>
      <x:fill>
        <x:patternFill>
          <x:bgColor rgb="FFFDE7E7"/>
        </x:patternFill>
      </x:fill>
    </x:dxf>
    <x:dxf>
      <x:font>
        <x:color rgb="FF9B1C1C"/>
      </x:font>
      <x:fill>
        <x:patternFill>
          <x:bgColor rgb="FFFDE7E7"/>
        </x:patternFill>
      </x:fill>
    </x:dxf>
    <x:dxf>
      <x:font>
        <x:color rgb="FF9B1C1C"/>
      </x:font>
      <x:fill>
        <x:patternFill>
          <x:bgColor rgb="FFFDE7E7"/>
        </x:patternFill>
      </x:fill>
    </x:dxf>
    <x:dxf>
      <x:font>
        <x:color rgb="FF9B1C1C"/>
      </x:font>
      <x:fill>
        <x:patternFill>
          <x:bgColor rgb="FFFDE7E7"/>
        </x:patternFill>
      </x:fill>
    </x:dxf>
    <x:dxf>
      <x:font>
        <x:color rgb="FF9B1C1C"/>
      </x:font>
      <x:fill>
        <x:patternFill>
          <x:bgColor rgb="FFFDE7E7"/>
        </x:patternFill>
      </x:fill>
    </x:dxf>
    <x:dxf>
      <x:font>
        <x:color rgb="FF9B1C1C"/>
      </x:font>
      <x:fill>
        <x:patternFill>
          <x:bgColor rgb="FFFDE7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f61606a8e44294" /><Relationship Type="http://schemas.openxmlformats.org/officeDocument/2006/relationships/theme" Target="/xl/theme/theme1.xml" Id="R314ffa7f9ea14510" /><Relationship Type="http://schemas.openxmlformats.org/officeDocument/2006/relationships/sharedStrings" Target="/xl/sharedStrings.xml" Id="Ra3f72f9181514667" /><Relationship Type="http://schemas.openxmlformats.org/officeDocument/2006/relationships/worksheet" Target="/xl/worksheets/sheet1.xml" Id="R465c33a6f7444ce9" /><Relationship Type="http://schemas.openxmlformats.org/officeDocument/2006/relationships/worksheet" Target="/xl/worksheets/sheet2.xml" Id="R50a5ccec58f048ad" /><Relationship Type="http://schemas.openxmlformats.org/officeDocument/2006/relationships/worksheet" Target="/xl/worksheets/sheet3.xml" Id="R17f016d5a13847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53858"/>
  </x:sheetPr>
  <x:sheetViews>
    <x:sheetView showGridLines="0" workbookViewId="0"/>
  </x:sheetViews>
  <x:sheetFormatPr defaultRowHeight="15"/>
  <x:cols>
    <x:col min="1" max="1" width="3" hidden="0" customWidth="1"/>
    <x:col min="2" max="2" width="53" hidden="0" customWidth="1"/>
    <x:col min="3" max="3" width="11" hidden="0" customWidth="1"/>
    <x:col min="4" max="4" width="23" hidden="0" customWidth="1"/>
    <x:col min="5" max="5" width="23" hidden="0" customWidth="1"/>
    <x:col min="6" max="6" width="23" hidden="0" customWidth="1"/>
    <x:col min="7" max="7" width="23" hidden="0" customWidth="1"/>
    <x:col min="8" max="8" width="23" hidden="0" customWidth="1"/>
  </x:cols>
  <x:sheetData>
    <x:row r="1" ht="24" customHeight="1">
      <x:c r="A1" s="2"/>
      <x:c r="B1" s="2"/>
      <x:c r="C1" s="2"/>
      <x:c r="D1" s="2"/>
      <x:c r="E1" s="2"/>
      <x:c r="F1" s="2"/>
      <x:c r="G1" s="2"/>
      <x:c r="H1" s="2"/>
    </x:row>
    <x:row r="2" ht="30" customHeight="1">
      <x:c r="A2" s="2"/>
      <x:c r="B2" s="3" t="str">
        <x:v>ETL tool evaluation — provisional architecture assessment</x:v>
      </x:c>
      <x:c r="C2" s="2"/>
      <x:c r="D2" s="2"/>
      <x:c r="E2" s="2"/>
      <x:c r="F2" s="2"/>
      <x:c r="G2" s="2"/>
      <x:c r="H2" s="2"/>
    </x:row>
    <x:row r="3" ht="24" customHeight="1">
      <x:c r="A3" s="2"/>
      <x:c r="B3" s="2" t="str">
        <x:v>12 October 2026 | Oracle Exadata EDW and operational reporting | Documentation review; no bank performance tests.</x:v>
      </x:c>
      <x:c r="C3" s="2"/>
      <x:c r="D3" s="2"/>
      <x:c r="E3" s="2"/>
      <x:c r="F3" s="2"/>
      <x:c r="G3" s="2"/>
      <x:c r="H3" s="2"/>
    </x:row>
    <x:row r="4" ht="24" customHeight="1">
      <x:c r="A4" s="2"/>
      <x:c r="B4" s="2" t="str">
        <x:v>Desk scale: 0 unsuitable · 1 major gaps · 2 material extra work · 3 credible fit · 4 strong fit · 5 requires demonstrated superiority.</x:v>
      </x:c>
      <x:c r="C4" s="2"/>
      <x:c r="D4" s="2"/>
      <x:c r="E4" s="2"/>
      <x:c r="F4" s="2"/>
      <x:c r="G4" s="2"/>
      <x:c r="H4" s="2"/>
    </x:row>
    <x:row r="5" ht="24" customHeight="1">
      <x:c r="A5" s="2"/>
      <x:c r="B5" s="2" t="str">
        <x:v>Top score excludes unquoted cost (8.5%) and rescales the other 91.5% to 100. Ratings are architect judgment, not acceptance results.</x:v>
      </x:c>
      <x:c r="C5" s="2"/>
      <x:c r="D5" s="2"/>
      <x:c r="E5" s="2"/>
      <x:c r="F5" s="2"/>
      <x:c r="G5" s="2"/>
      <x:c r="H5" s="2"/>
    </x:row>
    <x:row r="6" ht="24" customHeight="1">
      <x:c r="A6" s="2"/>
      <x:c r="B6" s="2"/>
      <x:c r="C6" s="2"/>
      <x:c r="D6" s="2"/>
      <x:c r="E6" s="2"/>
      <x:c r="F6" s="2"/>
      <x:c r="G6" s="2"/>
      <x:c r="H6" s="2"/>
    </x:row>
    <x:row r="7" ht="40" customHeight="1">
      <x:c r="A7" s="2"/>
      <x:c r="B7" s="7" t="str">
        <x:v>Result</x:v>
      </x:c>
      <x:c r="C7" s="7" t="str"/>
      <x:c r="D7" s="7" t="str">
        <x:v>Informatica
PowerCenter</x:v>
      </x:c>
      <x:c r="E7" s="7" t="str">
        <x:v>Oracle ODI</x:v>
      </x:c>
      <x:c r="F7" s="7" t="str">
        <x:v>dbt Core v1
+ Oracle</x:v>
      </x:c>
      <x:c r="G7" s="7" t="str">
        <x:v>Cloudera
(on premises)</x:v>
      </x:c>
      <x:c r="H7" s="7" t="str">
        <x:v>Apache Spark
(on premises)</x:v>
      </x:c>
    </x:row>
    <x:row r="8" ht="32" customHeight="1">
      <x:c r="A8" s="2"/>
      <x:c r="B8" s="2" t="str">
        <x:v>Provisional fit / 100
(excludes cost)</x:v>
      </x:c>
      <x:c r="C8" s="2"/>
      <x:c r="D8" s="9" t="n">
        <x:f>IF(AND(COUNT($C$13:$C$22)=10,ABS($C$23-100)&lt;0.000001,MIN($C$13:$C$22)&gt;=0,COUNT(D13:D19,D21:D22)=9,MIN(D13:D19,D21:D22)&gt;=0,MAX(D13:D19,D21:D22)&lt;=5,D31&lt;&gt;"",SUM($C$13:$C$19,$C$21:$C$22)&gt;0),(SUMPRODUCT($C$13:$C$19,D13:D19)+SUMPRODUCT($C$21:$C$22,D21:D22))/SUM($C$13:$C$19,$C$21:$C$22)*20,"")</x:f>
        <x:v>59.229508196721326</x:v>
      </x:c>
      <x:c r="E8" s="9" t="n">
        <x:f>IF(AND(COUNT($C$13:$C$22)=10,ABS($C$23-100)&lt;0.000001,MIN($C$13:$C$22)&gt;=0,COUNT(E13:E19,E21:E22)=9,MIN(E13:E19,E21:E22)&gt;=0,MAX(E13:E19,E21:E22)&lt;=5,E31&lt;&gt;"",SUM($C$13:$C$19,$C$21:$C$22)&gt;0),(SUMPRODUCT($C$13:$C$19,E13:E19)+SUMPRODUCT($C$21:$C$22,E21:E22))/SUM($C$13:$C$19,$C$21:$C$22)*20,"")</x:f>
        <x:v>67.31147540983608</x:v>
      </x:c>
      <x:c r="F8" s="9" t="n">
        <x:f>IF(AND(COUNT($C$13:$C$22)=10,ABS($C$23-100)&lt;0.000001,MIN($C$13:$C$22)&gt;=0,COUNT(F13:F19,F21:F22)=9,MIN(F13:F19,F21:F22)&gt;=0,MAX(F13:F19,F21:F22)&lt;=5,F31&lt;&gt;"",SUM($C$13:$C$19,$C$21:$C$22)&gt;0),(SUMPRODUCT($C$13:$C$19,F13:F19)+SUMPRODUCT($C$21:$C$22,F21:F22))/SUM($C$13:$C$19,$C$21:$C$22)*20,"")</x:f>
        <x:v>58.55737704918033</x:v>
      </x:c>
      <x:c r="G8" s="9" t="n">
        <x:f>IF(AND(COUNT($C$13:$C$22)=10,ABS($C$23-100)&lt;0.000001,MIN($C$13:$C$22)&gt;=0,COUNT(G13:G19,G21:G22)=9,MIN(G13:G19,G21:G22)&gt;=0,MAX(G13:G19,G21:G22)&lt;=5,G31&lt;&gt;"",SUM($C$13:$C$19,$C$21:$C$22)&gt;0),(SUMPRODUCT($C$13:$C$19,G13:G19)+SUMPRODUCT($C$21:$C$22,G21:G22))/SUM($C$13:$C$19,$C$21:$C$22)*20,"")</x:f>
        <x:v>54.05464480874318</x:v>
      </x:c>
      <x:c r="H8" s="9" t="n">
        <x:f>IF(AND(COUNT($C$13:$C$22)=10,ABS($C$23-100)&lt;0.000001,MIN($C$13:$C$22)&gt;=0,COUNT(H13:H19,H21:H22)=9,MIN(H13:H19,H21:H22)&gt;=0,MAX(H13:H19,H21:H22)&lt;=5,H31&lt;&gt;"",SUM($C$13:$C$19,$C$21:$C$22)&gt;0),(SUMPRODUCT($C$13:$C$19,H13:H19)+SUMPRODUCT($C$21:$C$22,H21:H22))/SUM($C$13:$C$19,$C$21:$C$22)*20,"")</x:f>
        <x:v>47.595628415300546</x:v>
      </x:c>
    </x:row>
    <x:row r="9" ht="32" customHeight="1">
      <x:c r="A9" s="2"/>
      <x:c r="B9" s="2" t="str">
        <x:v>Evaluation status</x:v>
      </x:c>
      <x:c r="C9" s="2"/>
      <x:c r="D9" s="10" t="str">
        <x:f>IF(COUNTIFS(D26:D28,"Fail")&gt;0,"Excluded",IF(OR(COUNTIFS(D26:D28,"Pass")&lt;&gt;3,D32=""),"Gates pending",IF(ISNUMBER(D42),"Review provisional ratings","Rating / evidence missing")))</x:f>
        <x:v>Gates pending</x:v>
      </x:c>
      <x:c r="E9" s="10" t="str">
        <x:f>IF(COUNTIFS(E26:E28,"Fail")&gt;0,"Excluded",IF(OR(COUNTIFS(E26:E28,"Pass")&lt;&gt;3,E32=""),"Gates pending",IF(ISNUMBER(E42),"Review provisional ratings","Rating / evidence missing")))</x:f>
        <x:v>Gates pending</x:v>
      </x:c>
      <x:c r="F9" s="10" t="str">
        <x:f>IF(COUNTIFS(F26:F28,"Fail")&gt;0,"Excluded",IF(OR(COUNTIFS(F26:F28,"Pass")&lt;&gt;3,F32=""),"Gates pending",IF(ISNUMBER(F42),"Review provisional ratings","Rating / evidence missing")))</x:f>
        <x:v>Gates pending</x:v>
      </x:c>
      <x:c r="G9" s="10" t="str">
        <x:f>IF(COUNTIFS(G26:G28,"Fail")&gt;0,"Excluded",IF(OR(COUNTIFS(G26:G28,"Pass")&lt;&gt;3,G32=""),"Gates pending",IF(ISNUMBER(G42),"Review provisional ratings","Rating / evidence missing")))</x:f>
        <x:v>Gates pending</x:v>
      </x:c>
      <x:c r="H9" s="10" t="str">
        <x:f>IF(COUNTIFS(H26:H28,"Fail")&gt;0,"Excluded",IF(OR(COUNTIFS(H26:H28,"Pass")&lt;&gt;3,H32=""),"Gates pending",IF(ISNUMBER(H42),"Review provisional ratings","Rating / evidence missing")))</x:f>
        <x:v>Gates pending</x:v>
      </x:c>
    </x:row>
    <x:row r="10" ht="32" customHeight="1">
      <x:c r="A10" s="2"/>
      <x:c r="B10" s="2" t="str">
        <x:v>Desk ratings entered / 10</x:v>
      </x:c>
      <x:c r="C10" s="2"/>
      <x:c r="D10" s="2" t="n">
        <x:f>COUNT(D13:D22)</x:f>
        <x:v>9</x:v>
      </x:c>
      <x:c r="E10" s="2" t="n">
        <x:f>COUNT(E13:E22)</x:f>
        <x:v>9</x:v>
      </x:c>
      <x:c r="F10" s="2" t="n">
        <x:f>COUNT(F13:F22)</x:f>
        <x:v>9</x:v>
      </x:c>
      <x:c r="G10" s="2" t="n">
        <x:f>COUNT(G13:G22)</x:f>
        <x:v>9</x:v>
      </x:c>
      <x:c r="H10" s="2" t="n">
        <x:f>COUNT(H13:H22)</x:f>
        <x:v>9</x:v>
      </x:c>
    </x:row>
    <x:row r="11" ht="24" customHeight="1">
      <x:c r="A11" s="2"/>
      <x:c r="B11" s="2"/>
      <x:c r="C11" s="2"/>
      <x:c r="D11" s="2"/>
      <x:c r="E11" s="2"/>
      <x:c r="F11" s="2"/>
      <x:c r="G11" s="2"/>
      <x:c r="H11" s="2"/>
    </x:row>
    <x:row r="12" ht="40" customHeight="1">
      <x:c r="A12" s="2"/>
      <x:c r="B12" s="7" t="str">
        <x:v>Section / criterion</x:v>
      </x:c>
      <x:c r="C12" s="7" t="str">
        <x:v>Weight %</x:v>
      </x:c>
      <x:c r="D12" s="7" t="str">
        <x:v>Informatica
PowerCenter</x:v>
      </x:c>
      <x:c r="E12" s="7" t="str">
        <x:v>Oracle ODI</x:v>
      </x:c>
      <x:c r="F12" s="7" t="str">
        <x:v>dbt Core v1
+ Oracle</x:v>
      </x:c>
      <x:c r="G12" s="7" t="str">
        <x:v>Cloudera
(on premises)</x:v>
      </x:c>
      <x:c r="H12" s="7" t="str">
        <x:v>Apache Spark
(on premises)</x:v>
      </x:c>
    </x:row>
    <x:row r="13" ht="39" customHeight="1">
      <x:c r="A13" s="2"/>
      <x:c r="B13" s="10" t="str">
        <x:v>03  Source integration and data movement</x:v>
      </x:c>
      <x:c r="C13" s="31" t="n">
        <x:v>9.35</x:v>
      </x:c>
      <x:c r="D13" s="12" t="n">
        <x:v>4</x:v>
      </x:c>
      <x:c r="E13" s="12" t="n">
        <x:v>4</x:v>
      </x:c>
      <x:c r="F13" s="12" t="n">
        <x:v>2</x:v>
      </x:c>
      <x:c r="G13" s="12" t="n">
        <x:v>3</x:v>
      </x:c>
      <x:c r="H13" s="12" t="n">
        <x:v>2</x:v>
      </x:c>
    </x:row>
    <x:row r="14" ht="39" customHeight="1">
      <x:c r="A14" s="2"/>
      <x:c r="B14" s="10" t="str">
        <x:v>04  Transformation and Exadata efficiency</x:v>
      </x:c>
      <x:c r="C14" s="31" t="n">
        <x:v>11.05</x:v>
      </x:c>
      <x:c r="D14" s="12" t="n">
        <x:v>3</x:v>
      </x:c>
      <x:c r="E14" s="12" t="n">
        <x:v>4</x:v>
      </x:c>
      <x:c r="F14" s="12" t="n">
        <x:v>4</x:v>
      </x:c>
      <x:c r="G14" s="12" t="n">
        <x:v>2</x:v>
      </x:c>
      <x:c r="H14" s="12" t="n">
        <x:v>2</x:v>
      </x:c>
    </x:row>
    <x:row r="15" ht="39" customHeight="1">
      <x:c r="A15" s="2"/>
      <x:c r="B15" s="10" t="str">
        <x:v>05  Data correctness, history and reconciliation</x:v>
      </x:c>
      <x:c r="C15" s="31" t="n">
        <x:v>17</x:v>
      </x:c>
      <x:c r="D15" s="12" t="n">
        <x:v>3</x:v>
      </x:c>
      <x:c r="E15" s="12" t="n">
        <x:v>3.5</x:v>
      </x:c>
      <x:c r="F15" s="12" t="n">
        <x:v>3</x:v>
      </x:c>
      <x:c r="G15" s="12" t="n">
        <x:v>2.5</x:v>
      </x:c>
      <x:c r="H15" s="12" t="n">
        <x:v>2.5</x:v>
      </x:c>
    </x:row>
    <x:row r="16" ht="39" customHeight="1">
      <x:c r="A16" s="2"/>
      <x:c r="B16" s="10" t="str">
        <x:v>06  Scheduling, operational reporting and recovery</x:v>
      </x:c>
      <x:c r="C16" s="31" t="n">
        <x:v>10.2</x:v>
      </x:c>
      <x:c r="D16" s="12" t="n">
        <x:v>3.5</x:v>
      </x:c>
      <x:c r="E16" s="12" t="n">
        <x:v>4</x:v>
      </x:c>
      <x:c r="F16" s="12" t="n">
        <x:v>2.5</x:v>
      </x:c>
      <x:c r="G16" s="12" t="n">
        <x:v>2.5</x:v>
      </x:c>
      <x:c r="H16" s="12" t="n">
        <x:v>2</x:v>
      </x:c>
    </x:row>
    <x:row r="17" ht="39" customHeight="1">
      <x:c r="A17" s="2"/>
      <x:c r="B17" s="10" t="str">
        <x:v>07  Security, metadata and auditability</x:v>
      </x:c>
      <x:c r="C17" s="31" t="n">
        <x:v>13.6</x:v>
      </x:c>
      <x:c r="D17" s="12" t="n">
        <x:v>3</x:v>
      </x:c>
      <x:c r="E17" s="12" t="n">
        <x:v>3</x:v>
      </x:c>
      <x:c r="F17" s="12" t="n">
        <x:v>2.5</x:v>
      </x:c>
      <x:c r="G17" s="12" t="n">
        <x:v>3.5</x:v>
      </x:c>
      <x:c r="H17" s="12" t="n">
        <x:v>2</x:v>
      </x:c>
    </x:row>
    <x:row r="18" ht="39" customHeight="1">
      <x:c r="A18" s="2"/>
      <x:c r="B18" s="10" t="str">
        <x:v>08  Development, testing and change management</x:v>
      </x:c>
      <x:c r="C18" s="31" t="n">
        <x:v>5.95</x:v>
      </x:c>
      <x:c r="D18" s="12" t="n">
        <x:v>2.5</x:v>
      </x:c>
      <x:c r="E18" s="12" t="n">
        <x:v>3</x:v>
      </x:c>
      <x:c r="F18" s="12" t="n">
        <x:v>4</x:v>
      </x:c>
      <x:c r="G18" s="12" t="n">
        <x:v>3</x:v>
      </x:c>
      <x:c r="H18" s="12" t="n">
        <x:v>3.5</x:v>
      </x:c>
    </x:row>
    <x:row r="19" ht="39" customHeight="1">
      <x:c r="A19" s="2"/>
      <x:c r="B19" s="10" t="str">
        <x:v>09  Operating model, support and lifecycle</x:v>
      </x:c>
      <x:c r="C19" s="31" t="n">
        <x:v>9.35</x:v>
      </x:c>
      <x:c r="D19" s="12" t="n">
        <x:v>3</x:v>
      </x:c>
      <x:c r="E19" s="12" t="n">
        <x:v>4</x:v>
      </x:c>
      <x:c r="F19" s="12" t="n">
        <x:v>2</x:v>
      </x:c>
      <x:c r="G19" s="12" t="n">
        <x:v>2</x:v>
      </x:c>
      <x:c r="H19" s="12" t="n">
        <x:v>1.5</x:v>
      </x:c>
    </x:row>
    <x:row r="20" ht="55" customHeight="1">
      <x:c r="A20" s="2"/>
      <x:c r="B20" s="10" t="str">
        <x:v>10  Five-year cost and exit effort
Unassessed: comparable quotes missing</x:v>
      </x:c>
      <x:c r="C20" s="31" t="n">
        <x:v>8.5</x:v>
      </x:c>
      <x:c r="D20" s="12"/>
      <x:c r="E20" s="12"/>
      <x:c r="F20" s="12"/>
      <x:c r="G20" s="12"/>
      <x:c r="H20" s="12"/>
    </x:row>
    <x:row r="21" ht="39" customHeight="1">
      <x:c r="A21" s="2"/>
      <x:c r="B21" s="78" t="str">
        <x:v>12  AI integration</x:v>
      </x:c>
      <x:c r="C21" s="88" t="n">
        <x:v>8</x:v>
      </x:c>
      <x:c r="D21" s="97" t="n">
        <x:v>2</x:v>
      </x:c>
      <x:c r="E21" s="97" t="n">
        <x:v>2</x:v>
      </x:c>
      <x:c r="F21" s="97" t="n">
        <x:v>3</x:v>
      </x:c>
      <x:c r="G21" s="97" t="n">
        <x:v>3</x:v>
      </x:c>
      <x:c r="H21" s="97" t="n">
        <x:v>3</x:v>
      </x:c>
    </x:row>
    <x:row r="22" ht="39" customHeight="1">
      <x:c r="A22" s="2"/>
      <x:c r="B22" s="78" t="str">
        <x:v>13  Open-source licensing and flexibility</x:v>
      </x:c>
      <x:c r="C22" s="88" t="n">
        <x:v>7</x:v>
      </x:c>
      <x:c r="D22" s="97" t="n">
        <x:v>2</x:v>
      </x:c>
      <x:c r="E22" s="97" t="n">
        <x:v>2</x:v>
      </x:c>
      <x:c r="F22" s="97" t="n">
        <x:v>4</x:v>
      </x:c>
      <x:c r="G22" s="97" t="n">
        <x:v>3</x:v>
      </x:c>
      <x:c r="H22" s="97" t="n">
        <x:v>4</x:v>
      </x:c>
    </x:row>
    <x:row r="23" ht="24" customHeight="1">
      <x:c r="A23" s="2"/>
      <x:c r="B23" s="74" t="str">
        <x:v>Total weight</x:v>
      </x:c>
      <x:c r="C23" s="75" t="n">
        <x:f>SUM(C13:C22)</x:f>
        <x:v>99.99999999999999</x:v>
      </x:c>
      <x:c r="D23" s="81"/>
      <x:c r="E23" s="81"/>
      <x:c r="F23" s="81"/>
      <x:c r="G23" s="81"/>
      <x:c r="H23" s="81"/>
    </x:row>
    <x:row r="24" ht="24" customHeight="1">
      <x:c r="A24" s="2"/>
      <x:c r="B24" s="81"/>
      <x:c r="C24" s="81"/>
      <x:c r="D24" s="81"/>
      <x:c r="E24" s="81"/>
      <x:c r="F24" s="81"/>
      <x:c r="G24" s="81"/>
      <x:c r="H24" s="81"/>
    </x:row>
    <x:row r="25" ht="40" customHeight="1">
      <x:c r="A25" s="2"/>
      <x:c r="B25" s="94" t="str">
        <x:v>02  Mandatory requirement groups</x:v>
      </x:c>
      <x:c r="C25" s="94"/>
      <x:c r="D25" s="94" t="str">
        <x:v>Informatica
PowerCenter</x:v>
      </x:c>
      <x:c r="E25" s="94" t="str">
        <x:v>Oracle ODI</x:v>
      </x:c>
      <x:c r="F25" s="94" t="str">
        <x:v>dbt Core v1
+ Oracle</x:v>
      </x:c>
      <x:c r="G25" s="94" t="str">
        <x:v>Cloudera
(on premises)</x:v>
      </x:c>
      <x:c r="H25" s="94" t="str">
        <x:v>Apache Spark
(on premises)</x:v>
      </x:c>
    </x:row>
    <x:row r="26" ht="32" customHeight="1">
      <x:c r="A26" s="2"/>
      <x:c r="B26" s="81" t="str">
        <x:v>Fully on-premises operation</x:v>
      </x:c>
      <x:c r="C26" s="81"/>
      <x:c r="D26" s="95" t="str">
        <x:v>Pending</x:v>
      </x:c>
      <x:c r="E26" s="95" t="str">
        <x:v>Pending</x:v>
      </x:c>
      <x:c r="F26" s="95" t="str">
        <x:v>Pending</x:v>
      </x:c>
      <x:c r="G26" s="95" t="str">
        <x:v>Pending</x:v>
      </x:c>
      <x:c r="H26" s="95" t="str">
        <x:v>Pending</x:v>
      </x:c>
    </x:row>
    <x:row r="27" ht="32" customHeight="1">
      <x:c r="A27" s="2"/>
      <x:c r="B27" s="81" t="str">
        <x:v>Security, support and operating acceptance</x:v>
      </x:c>
      <x:c r="C27" s="81"/>
      <x:c r="D27" s="95" t="str">
        <x:v>Pending</x:v>
      </x:c>
      <x:c r="E27" s="95" t="str">
        <x:v>Pending</x:v>
      </x:c>
      <x:c r="F27" s="95" t="str">
        <x:v>Pending</x:v>
      </x:c>
      <x:c r="G27" s="95" t="str">
        <x:v>Pending</x:v>
      </x:c>
      <x:c r="H27" s="95" t="str">
        <x:v>Pending</x:v>
      </x:c>
    </x:row>
    <x:row r="28" ht="32" customHeight="1">
      <x:c r="A28" s="2"/>
      <x:c r="B28" s="81" t="str">
        <x:v>Correctness, deadlines and recovery tests</x:v>
      </x:c>
      <x:c r="C28" s="81"/>
      <x:c r="D28" s="95" t="str">
        <x:v>Pending</x:v>
      </x:c>
      <x:c r="E28" s="95" t="str">
        <x:v>Pending</x:v>
      </x:c>
      <x:c r="F28" s="95" t="str">
        <x:v>Pending</x:v>
      </x:c>
      <x:c r="G28" s="95" t="str">
        <x:v>Pending</x:v>
      </x:c>
      <x:c r="H28" s="95" t="str">
        <x:v>Pending</x:v>
      </x:c>
    </x:row>
    <x:row r="29" ht="24" customHeight="1">
      <x:c r="A29" s="2"/>
      <x:c r="B29" s="81"/>
      <x:c r="C29" s="81"/>
      <x:c r="D29" s="81"/>
      <x:c r="E29" s="81"/>
      <x:c r="F29" s="81"/>
      <x:c r="G29" s="81"/>
      <x:c r="H29" s="81"/>
    </x:row>
    <x:row r="30" ht="24" customHeight="1">
      <x:c r="A30" s="2"/>
      <x:c r="B30" s="74" t="str">
        <x:v>Evidence records</x:v>
      </x:c>
      <x:c r="C30" s="81"/>
      <x:c r="D30" s="81"/>
      <x:c r="E30" s="81"/>
      <x:c r="F30" s="81"/>
      <x:c r="G30" s="81"/>
      <x:c r="H30" s="81"/>
    </x:row>
    <x:row r="31" ht="60" customHeight="1">
      <x:c r="A31" s="2"/>
      <x:c r="B31" s="81" t="str">
        <x:v>Desk evidence and rating rationale</x:v>
      </x:c>
      <x:c r="C31" s="81"/>
      <x:c r="D31" s="102" t="str">
        <x:v>Comparison C29:C180; C187:C192; Sources</x:v>
      </x:c>
      <x:c r="E31" s="102" t="str">
        <x:v>Comparison D29:D180; D187:D192; Sources</x:v>
      </x:c>
      <x:c r="F31" s="102" t="str">
        <x:v>Comparison E29:E180; E187:E192; Sources</x:v>
      </x:c>
      <x:c r="G31" s="102" t="str">
        <x:v>Comparison F29:F180; F187:F192; Sources</x:v>
      </x:c>
      <x:c r="H31" s="102" t="str">
        <x:v>Comparison G29:G180; G187:G192; Sources</x:v>
      </x:c>
    </x:row>
    <x:row r="32" ht="46" customHeight="1">
      <x:c r="A32" s="2"/>
      <x:c r="B32" s="81" t="str">
        <x:v>Gate approvals: not provided</x:v>
      </x:c>
      <x:c r="C32" s="81"/>
      <x:c r="D32" s="102"/>
      <x:c r="E32" s="102"/>
      <x:c r="F32" s="102"/>
      <x:c r="G32" s="102"/>
      <x:c r="H32" s="102"/>
    </x:row>
    <x:row r="33" ht="24" customHeight="1">
      <x:c r="A33" s="2"/>
      <x:c r="B33" s="81"/>
      <x:c r="C33" s="81"/>
      <x:c r="D33" s="81"/>
      <x:c r="E33" s="81"/>
      <x:c r="F33" s="81"/>
      <x:c r="G33" s="81"/>
      <x:c r="H33" s="81"/>
    </x:row>
    <x:row r="34" ht="24" customHeight="1">
      <x:c r="A34" s="2"/>
      <x:c r="B34" s="81" t="str">
        <x:v>Nine provisional ratings per candidate are explained in Comparison. Cost and gate approval records are unavailable; blanks are not zero.</x:v>
      </x:c>
      <x:c r="C34" s="81"/>
      <x:c r="D34" s="81"/>
      <x:c r="E34" s="81"/>
      <x:c r="F34" s="81"/>
      <x:c r="G34" s="81"/>
      <x:c r="H34" s="81"/>
    </x:row>
    <x:row r="35" ht="24" customHeight="1">
      <x:c r="A35" s="2"/>
      <x:c r="B35" s="81" t="str">
        <x:v>All gates remain Pending. Desk scores prioritize proof-of-concept work; they do not establish product acceptance or a procurement winner.</x:v>
      </x:c>
      <x:c r="C35" s="81"/>
      <x:c r="D35" s="81"/>
      <x:c r="E35" s="81"/>
      <x:c r="F35" s="81"/>
      <x:c r="G35" s="81"/>
      <x:c r="H35" s="81"/>
    </x:row>
    <x:row r="36" ht="24" customHeight="1">
      <x:c r="A36" s="2"/>
      <x:c r="B36" s="81" t="str">
        <x:v>Assess the complete local solution: runtime, control plane, metadata, logs, CI, packages, support diagnostics and optional AI services.</x:v>
      </x:c>
      <x:c r="C36" s="81"/>
      <x:c r="D36" s="81"/>
      <x:c r="E36" s="81"/>
      <x:c r="F36" s="81"/>
      <x:c r="G36" s="81"/>
      <x:c r="H36" s="81"/>
    </x:row>
    <x:row r="37" ht="24" customHeight="1">
      <x:c r="A37" s="2"/>
      <x:c r="B37" s="81"/>
      <x:c r="C37" s="81"/>
      <x:c r="D37" s="81"/>
      <x:c r="E37" s="81"/>
      <x:c r="F37" s="81"/>
      <x:c r="G37" s="81"/>
      <x:c r="H37" s="81"/>
    </x:row>
    <x:row r="38" ht="24" customHeight="1">
      <x:c r="A38" s="2"/>
      <x:c r="B38" s="81" t="str">
        <x:v>Weights: original eight criteria scaled to 85%; AI 8%; open-source licensing and flexibility 7%. Total 100%.</x:v>
      </x:c>
      <x:c r="C38" s="81"/>
      <x:c r="D38" s="81"/>
      <x:c r="E38" s="81"/>
      <x:c r="F38" s="81"/>
      <x:c r="G38" s="81"/>
      <x:c r="H38" s="81"/>
    </x:row>
    <x:row r="39" ht="24" customHeight="1">
      <x:c r="A39" s="2"/>
      <x:c r="B39" s="81" t="str">
        <x:v>The existing acceptance rubric still applies after testing. This review adds a separate, explicitly provisional desk-assessment basis.</x:v>
      </x:c>
      <x:c r="C39" s="81"/>
      <x:c r="D39" s="81"/>
      <x:c r="E39" s="81"/>
      <x:c r="F39" s="81"/>
      <x:c r="G39" s="81"/>
      <x:c r="H39" s="81"/>
    </x:row>
    <x:row r="41" ht="26" customHeight="1">
      <x:c r="B41" s="121" t="str">
        <x:v>Architect recommendation and outstanding evidence</x:v>
      </x:c>
      <x:c r="C41" s="121"/>
      <x:c r="D41" s="121"/>
      <x:c r="E41" s="121"/>
      <x:c r="F41" s="121"/>
      <x:c r="G41" s="121"/>
      <x:c r="H41" s="121"/>
    </x:row>
    <x:row r="42" ht="40" customHeight="1">
      <x:c r="B42" s="117" t="str">
        <x:v>Full weighted score / 100
(cost still missing)</x:v>
      </x:c>
      <x:c r="C42" s="117"/>
      <x:c r="D42" s="120" t="str">
        <x:f>IF(AND(COUNT($C$13:$C$22)=10,ABS($C$23-100)&lt;0.000001,MIN($C$13:$C$22)&gt;=0,COUNT(D13:D22)=10,MIN(D13:D22)&gt;=0,MAX(D13:D22)&lt;=5,D31&lt;&gt;""),SUMPRODUCT($C$13:$C$22,D13:D22)/5,"")</x:f>
      </x:c>
      <x:c r="E42" s="120" t="str">
        <x:f>IF(AND(COUNT($C$13:$C$22)=10,ABS($C$23-100)&lt;0.000001,MIN($C$13:$C$22)&gt;=0,COUNT(E13:E22)=10,MIN(E13:E22)&gt;=0,MAX(E13:E22)&lt;=5,E31&lt;&gt;""),SUMPRODUCT($C$13:$C$22,E13:E22)/5,"")</x:f>
      </x:c>
      <x:c r="F42" s="120" t="str">
        <x:f>IF(AND(COUNT($C$13:$C$22)=10,ABS($C$23-100)&lt;0.000001,MIN($C$13:$C$22)&gt;=0,COUNT(F13:F22)=10,MIN(F13:F22)&gt;=0,MAX(F13:F22)&lt;=5,F31&lt;&gt;""),SUMPRODUCT($C$13:$C$22,F13:F22)/5,"")</x:f>
      </x:c>
      <x:c r="G42" s="120" t="str">
        <x:f>IF(AND(COUNT($C$13:$C$22)=10,ABS($C$23-100)&lt;0.000001,MIN($C$13:$C$22)&gt;=0,COUNT(G13:G22)=10,MIN(G13:G22)&gt;=0,MAX(G13:G22)&lt;=5,G31&lt;&gt;""),SUMPRODUCT($C$13:$C$22,G13:G22)/5,"")</x:f>
      </x:c>
      <x:c r="H42" s="120" t="str">
        <x:f>IF(AND(COUNT($C$13:$C$22)=10,ABS($C$23-100)&lt;0.000001,MIN($C$13:$C$22)&gt;=0,COUNT(H13:H22)=10,MIN(H13:H22)&gt;=0,MAX(H13:H22)&lt;=5,H31&lt;&gt;""),SUMPRODUCT($C$13:$C$22,H13:H22)/5,"")</x:f>
      </x:c>
    </x:row>
    <x:row r="43" ht="65" customHeight="1">
      <x:c r="B43" s="117" t="str">
        <x:v>Proof-of-concept priority</x:v>
      </x:c>
      <x:c r="C43" s="117"/>
      <x:c r="D43" s="117" t="str">
        <x:v>Shortlist
Commercial challenger</x:v>
      </x:c>
      <x:c r="E43" s="117" t="str">
        <x:v>Lead shortlist
Oracle EDW baseline</x:v>
      </x:c>
      <x:c r="F43" s="117" t="str">
        <x:v>Conditional shortlist
SQL transformation</x:v>
      </x:c>
      <x:c r="G43" s="117" t="str">
        <x:v>Defer as primary ETL
Revisit for wider platform need</x:v>
      </x:c>
      <x:c r="H43" s="117" t="str">
        <x:v>Specialist complement
Defer as primary ETL</x:v>
      </x:c>
    </x:row>
    <x:row r="44" ht="92" customHeight="1">
      <x:c r="B44" s="117" t="str">
        <x:v>Main selection condition</x:v>
      </x:c>
      <x:c r="C44" s="117"/>
      <x:c r="D44" s="117" t="str">
        <x:v>Prove pushdown, recovery and fully local support; new licenses required.</x:v>
      </x:c>
      <x:c r="E44" s="117" t="str">
        <x:v>Prove safe replica ingestion, recovery and target capacity; quote CDC separately.</x:v>
      </x:c>
      <x:c r="F44" s="117" t="str">
        <x:v>Secure Oracle adapter support and ingestion/scheduler ownership.</x:v>
      </x:c>
      <x:c r="G44" s="117" t="str">
        <x:v>Justify a second platform and its operations; no optional AI-service credit.</x:v>
      </x:c>
      <x:c r="H44" s="117" t="str">
        <x:v>Name a platform/support team and prove idempotent Oracle publication.</x:v>
      </x:c>
    </x:row>
    <x:row r="45">
      <x:c r="B45"/>
      <x:c r="C45"/>
      <x:c r="D45"/>
      <x:c r="E45"/>
      <x:c r="F45"/>
      <x:c r="G45"/>
      <x:c r="H45"/>
    </x:row>
    <x:row r="46" ht="34" customHeight="1">
      <x:c r="B46" s="101" t="str">
        <x:v>Cost could change the order. Obtain comparable five-year quotes, staffing and capacity estimates before using the full weighted score.</x:v>
      </x:c>
      <x:c r="C46" s="101"/>
      <x:c r="D46" s="101"/>
      <x:c r="E46" s="101"/>
      <x:c r="F46" s="101"/>
      <x:c r="G46" s="101"/>
      <x:c r="H46" s="101"/>
    </x:row>
    <x:row r="47" ht="34" customHeight="1">
      <x:c r="B47" s="101" t="str">
        <x:v>Bank basis: Oracle-heavy sources, Kale load reduction, late historical updates, many operational reports, existing Informatica TDM only.</x:v>
      </x:c>
      <x:c r="C47" s="101"/>
      <x:c r="D47" s="101"/>
      <x:c r="E47" s="101"/>
      <x:c r="F47" s="101"/>
      <x:c r="G47" s="101"/>
      <x:c r="H47" s="101"/>
    </x:row>
    <x:row r="48" ht="34" customHeight="1">
      <x:c r="B48" s="101" t="str">
        <x:v>Assumption: retain Exadata as the common target. Existing notes inform requirements; no particular core/ODS/history design is mandated here.</x:v>
      </x:c>
      <x:c r="C48" s="101"/>
      <x:c r="D48" s="101"/>
      <x:c r="E48" s="101"/>
      <x:c r="F48" s="101"/>
      <x:c r="G48" s="101"/>
      <x:c r="H48" s="101"/>
    </x:row>
    <x:row r="49" ht="34" customHeight="1">
      <x:c r="B49" s="101" t="str">
        <x:v>Recommendation is architectural judgment. Confirm team capacity, report SLAs, source-read permissions and release support in the proof of concept.</x:v>
      </x:c>
      <x:c r="C49" s="101"/>
      <x:c r="D49" s="101"/>
      <x:c r="E49" s="101"/>
      <x:c r="F49" s="101"/>
      <x:c r="G49" s="101"/>
      <x:c r="H49" s="101"/>
    </x:row>
  </x:sheetData>
  <x:mergeCells>
    <x:mergeCell ref="B41:H41"/>
    <x:mergeCell ref="B46:H46"/>
    <x:mergeCell ref="B47:H47"/>
    <x:mergeCell ref="B48:H48"/>
    <x:mergeCell ref="B49:H49"/>
  </x:mergeCells>
  <x:conditionalFormatting sqref="D9:H9">
    <x:cfRule type="cellIs" dxfId="2" priority="3" operator="equal">
      <x:formula>"Excluded"</x:formula>
    </x:cfRule>
  </x:conditionalFormatting>
  <x:conditionalFormatting sqref="C23:C23">
    <x:cfRule type="expression" dxfId="7" priority="4">
      <x:formula>ABS(C23-100)&gt;0.000001</x:formula>
    </x:cfRule>
  </x:conditionalFormatting>
  <x:conditionalFormatting sqref="D26:H28">
    <x:cfRule type="cellIs" dxfId="8" priority="5" operator="equal">
      <x:formula>"Fail"</x:formula>
    </x:cfRule>
  </x:conditionalFormatting>
  <x:dataValidations count="5">
    <x:dataValidation type="decimal" operator="between" sqref="C21:C22">
      <x:formula1>0</x:formula1>
      <x:formula2>100</x:formula2>
    </x:dataValidation>
    <x:dataValidation type="decimal" operator="between" sqref="D21:H22">
      <x:formula1>0</x:formula1>
      <x:formula2>5</x:formula2>
    </x:dataValidation>
    <x:dataValidation type="decimal" operator="between" sqref="C13:C20">
      <x:formula1>0</x:formula1>
      <x:formula2>100</x:formula2>
    </x:dataValidation>
    <x:dataValidation type="decimal" operator="between" sqref="D13:H20">
      <x:formula1>0</x:formula1>
      <x:formula2>5</x:formula2>
    </x:dataValidation>
    <x:dataValidation type="list" sqref="D26:H28">
      <x:formula1>"Pending,Pass,Fail"</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2" topLeftCell="C1" activePane="topRight" state="frozen"/>
    </x:sheetView>
  </x:sheetViews>
  <x:sheetFormatPr defaultRowHeight="15"/>
  <x:cols>
    <x:col min="1" max="1" width="3" hidden="0" customWidth="1"/>
    <x:col min="2" max="2" width="25" hidden="0" customWidth="1"/>
    <x:col min="3" max="3" width="39" hidden="0" customWidth="1"/>
    <x:col min="4" max="4" width="39" hidden="0" customWidth="1"/>
    <x:col min="5" max="5" width="39" hidden="0" customWidth="1"/>
    <x:col min="6" max="6" width="39" hidden="0" customWidth="1"/>
    <x:col min="7" max="7" width="39" hidden="0" customWidth="1"/>
  </x:cols>
  <x:sheetData>
    <x:row r="1" ht="24" customHeight="1">
      <x:c r="A1" s="2"/>
      <x:c r="B1" s="2"/>
      <x:c r="C1" s="2"/>
      <x:c r="D1" s="2"/>
      <x:c r="E1" s="2"/>
      <x:c r="F1" s="2"/>
      <x:c r="G1" s="2"/>
    </x:row>
    <x:row r="2" ht="30" customHeight="1">
      <x:c r="A2" s="2"/>
      <x:c r="B2" s="3" t="str">
        <x:v>Detailed comparison of five solutions</x:v>
      </x:c>
      <x:c r="C2" s="2"/>
      <x:c r="D2" s="2"/>
      <x:c r="E2" s="2"/>
      <x:c r="F2" s="2"/>
      <x:c r="G2" s="2"/>
    </x:row>
    <x:row r="3" ht="24" customHeight="1">
      <x:c r="A3" s="2"/>
      <x:c r="B3" s="2" t="str">
        <x:v>Official documents support capability statements; numbered desk ratings and recommendations are architect judgments for this bank.</x:v>
      </x:c>
      <x:c r="C3" s="2"/>
      <x:c r="D3" s="2"/>
      <x:c r="E3" s="2"/>
      <x:c r="F3" s="2"/>
      <x:c r="G3" s="2"/>
    </x:row>
    <x:row r="4" ht="24" customHeight="1">
      <x:c r="A4" s="2"/>
      <x:c r="B4" s="2" t="str">
        <x:v>12 October 2026 | Nine provisional ratings; cost unassessed. Source register distinguishes direct review, index evidence and unverified references.</x:v>
      </x:c>
      <x:c r="C4" s="2"/>
      <x:c r="D4" s="2"/>
      <x:c r="E4" s="2"/>
      <x:c r="F4" s="2"/>
      <x:c r="G4" s="2"/>
    </x:row>
    <x:row r="5" ht="24" customHeight="1">
      <x:c r="A5" s="2"/>
      <x:c r="B5" s="2"/>
      <x:c r="C5" s="2"/>
      <x:c r="D5" s="2"/>
      <x:c r="E5" s="2"/>
      <x:c r="F5" s="2"/>
      <x:c r="G5" s="2"/>
    </x:row>
    <x:row r="6" ht="29" customHeight="1">
      <x:c r="A6" s="2"/>
      <x:c r="B6" s="15" t="str">
        <x:v>01  Solution scope and architecture  — not scored</x:v>
      </x:c>
      <x:c r="C6" s="2"/>
      <x:c r="D6" s="2"/>
      <x:c r="E6" s="2"/>
      <x:c r="F6" s="2"/>
      <x:c r="G6" s="2"/>
    </x:row>
    <x:row r="7" ht="27" customHeight="1">
      <x:c r="A7" s="2"/>
      <x:c r="B7" s="2" t="str">
        <x:v>Assumption for a fair comparison: retain Oracle Exadata for the EDW and report-serving target. This does not mandate the repository’s layer/model design.</x:v>
      </x:c>
      <x:c r="C7" s="2"/>
      <x:c r="D7" s="2"/>
      <x:c r="E7" s="2"/>
      <x:c r="F7" s="2"/>
      <x:c r="G7" s="2"/>
    </x:row>
    <x:row r="8" ht="40" customHeight="1">
      <x:c r="A8" s="2"/>
      <x:c r="B8" s="7" t="str">
        <x:v>Comparison dimension</x:v>
      </x:c>
      <x:c r="C8" s="7" t="str">
        <x:v>Informatica
PowerCenter</x:v>
      </x:c>
      <x:c r="D8" s="7" t="str">
        <x:v>Oracle ODI</x:v>
      </x:c>
      <x:c r="E8" s="7" t="str">
        <x:v>dbt Core v1
+ Oracle</x:v>
      </x:c>
      <x:c r="F8" s="7" t="str">
        <x:v>Cloudera
(on premises)</x:v>
      </x:c>
      <x:c r="G8" s="7" t="str">
        <x:v>Apache Spark
(on premises)</x:v>
      </x:c>
    </x:row>
    <x:row r="9" ht="85" customHeight="1">
      <x:c r="A9" s="2"/>
      <x:c r="B9" s="17" t="str">
        <x:v>Approach</x:v>
      </x:c>
      <x:c r="C9" s="16" t="str">
        <x:v>Local PowerCenter repository and Integration Service, with visual mappings and workflows. Assess both engine processing and SQL pushed to the database.</x:v>
      </x:c>
      <x:c r="D9" s="16" t="str">
        <x:v>Repositories, runtime agents and Knowledge Modules (KMs). The agent orchestrates code on source/target systems; execution location depends on mapping design.</x:v>
      </x:c>
      <x:c r="E9" s="16" t="str">
        <x:v>A local dbt Core v1 runner executes SQL models through the Oracle adapter. This candidate covers SQL transformation; ingestion is a separate service.</x:v>
      </x:c>
      <x:c r="F9" s="16" t="str">
        <x:v>An on-premises platform with explicitly selected releases and services. Assess Spark and data services within Base together with cluster management.</x:v>
      </x:c>
      <x:c r="G9" s="16" t="str">
        <x:v>A processing engine with driver and executor processes. Select a cluster manager, storage and surrounding services to assemble the complete solution.</x:v>
      </x:c>
    </x:row>
    <x:row r="10" ht="85" customHeight="1">
      <x:c r="A10" s="2"/>
      <x:c r="B10" s="17" t="str">
        <x:v>Dependencies and limits</x:v>
      </x:c>
      <x:c r="C10" s="16" t="str">
        <x:v>List required connectors, CDC, catalog, quality products and HA/DR separately. Do not assume the entire Informatica portfolio is included.</x:v>
      </x:c>
      <x:c r="D10" s="16" t="str">
        <x:v>List JDBC drivers, agent type, repository databases, relevant middleware and CDC. Do not assume GoldenGate licensing is included.</x:v>
      </x:c>
      <x:c r="E10" s="16" t="str">
        <x:v>Ingestion/CDC, scheduler, Git/CI, package repository, secrets, monitoring and support. Cloud services from the dbt platform are outside this candidate.</x:v>
      </x:c>
      <x:c r="F10" s="16" t="str">
        <x:v>Storage, security, catalog, ingestion flows and the return path to Oracle. Scope NiFi/Flow Management or Data Services separately if selected.</x:v>
      </x:c>
      <x:c r="G10" s="16" t="str">
        <x:v>Ingestion/CDC, scheduler, catalog, quality, security, metrics/logs, backup and support. None can be inferred from the Spark name alone.</x:v>
      </x:c>
    </x:row>
    <x:row r="11" ht="108" customHeight="1">
      <x:c r="A11" s="2"/>
      <x:c r="B11" s="17" t="str">
        <x:v>Bank implications (assessment)</x:v>
      </x:c>
      <x:c r="C11" s="16" t="str">
        <x:v>Shortlist as a commercial challenger. TDM is the only Informatica entitlement recorded; do not assume reusable PowerCenter licenses, skills or CDC rights. [B2, I10]</x:v>
      </x:c>
      <x:c r="D11" s="16" t="str">
        <x:v>Lead shortlist for an Oracle-heavy estate: keep relational transformations near Exadata data. This is architectural fit, not a measured performance or price advantage. [B2, O1, O5]</x:v>
      </x:c>
      <x:c r="E11" s="16" t="str">
        <x:v>Conditional SQL-transformation candidate, not a complete ingestion and operations suite. The Oracle adapter documentation/support boundary is a material decision issue. [D1, D4]</x:v>
      </x:c>
      <x:c r="F11" s="16" t="str">
        <x:v>Defer as the primary ETL platform unless lake, nonrelational or distributed AI workloads justify the extra estate. Do not assume those requirements from data size alone. [B2, B3, C1]</x:v>
      </x:c>
      <x:c r="G11" s="16" t="str">
        <x:v>Retain for specialist distributed processing if a workload proves its value. A bare Spark engine is not a supported bank integration service. [S1, S3, S4]</x:v>
      </x:c>
    </x:row>
    <x:row r="12" ht="85" customHeight="1">
      <x:c r="A12" s="2"/>
      <x:c r="B12" s="17" t="str">
        <x:v>Evidence required</x:v>
      </x:c>
      <x:c r="C12" s="16" t="str">
        <x:v>A fully local product offer, component/license inventory, data-flow diagram and support scope.</x:v>
      </x:c>
      <x:c r="D12" s="16" t="str">
        <x:v>Agent/repository/KM inventory, physical execution locations, licensing and source/target connection diagram.</x:v>
      </x:c>
      <x:c r="E12" s="16" t="str">
        <x:v>Core, adapter, Python, driver and Oracle versions; components and owners from ingestion through report delivery.</x:v>
      </x:c>
      <x:c r="F12" s="16" t="str">
        <x:v>Base/Data Services/Flow Management scope, nodes, data copies and Oracle publication design.</x:v>
      </x:c>
      <x:c r="G12" s="16" t="str">
        <x:v>Version, owner and support provider for every component; production/test/DR topology and end-to-end accountability.</x:v>
      </x:c>
    </x:row>
    <x:row r="13" ht="33" customHeight="1">
      <x:c r="A13" s="2"/>
      <x:c r="B13" s="19" t="str">
        <x:v>Source IDs</x:v>
      </x:c>
      <x:c r="C13" s="19" t="str">
        <x:v>I10, I1, I3</x:v>
      </x:c>
      <x:c r="D13" s="19" t="str">
        <x:v>O1</x:v>
      </x:c>
      <x:c r="E13" s="19" t="str">
        <x:v>D1, D4</x:v>
      </x:c>
      <x:c r="F13" s="19" t="str">
        <x:v>C1, C3</x:v>
      </x:c>
      <x:c r="G13" s="19" t="str">
        <x:v>S1, S3</x:v>
      </x:c>
    </x:row>
    <x:row r="14" ht="24" customHeight="1">
      <x:c r="A14" s="2"/>
      <x:c r="B14" s="2"/>
      <x:c r="C14" s="2"/>
      <x:c r="D14" s="2"/>
      <x:c r="E14" s="2"/>
      <x:c r="F14" s="2"/>
      <x:c r="G14" s="2"/>
    </x:row>
    <x:row r="15" ht="29" customHeight="1">
      <x:c r="A15" s="2"/>
      <x:c r="B15" s="15" t="str">
        <x:v>02  Mandatory requirements  — not scored</x:v>
      </x:c>
      <x:c r="C15" s="2"/>
      <x:c r="D15" s="2"/>
      <x:c r="E15" s="2"/>
      <x:c r="F15" s="2"/>
      <x:c r="G15" s="2"/>
    </x:row>
    <x:row r="16" ht="27" customHeight="1">
      <x:c r="A16" s="2"/>
      <x:c r="B16" s="2" t="str">
        <x:v>Runtime, management, metadata and logs must remain on premises. Documentary compatibility does not replace bank acceptance tests.</x:v>
      </x:c>
      <x:c r="C16" s="2"/>
      <x:c r="D16" s="2"/>
      <x:c r="E16" s="2"/>
      <x:c r="F16" s="2"/>
      <x:c r="G16" s="2"/>
    </x:row>
    <x:row r="17" ht="40" customHeight="1">
      <x:c r="A17" s="2"/>
      <x:c r="B17" s="7" t="str">
        <x:v>Comparison dimension</x:v>
      </x:c>
      <x:c r="C17" s="7" t="str">
        <x:v>Informatica
PowerCenter</x:v>
      </x:c>
      <x:c r="D17" s="7" t="str">
        <x:v>Oracle ODI</x:v>
      </x:c>
      <x:c r="E17" s="7" t="str">
        <x:v>dbt Core v1
+ Oracle</x:v>
      </x:c>
      <x:c r="F17" s="7" t="str">
        <x:v>Cloudera
(on premises)</x:v>
      </x:c>
      <x:c r="G17" s="7" t="str">
        <x:v>Apache Spark
(on premises)</x:v>
      </x:c>
    </x:row>
    <x:row r="18" ht="85" customHeight="1">
      <x:c r="A18" s="2"/>
      <x:c r="B18" s="17" t="str">
        <x:v>Locality boundary</x:v>
      </x:c>
      <x:c r="C18" s="16" t="str">
        <x:v>Evaluate only a fully local PowerCenter offer. CDI-PC management connected to IDMC does not meet this boundary.</x:v>
      </x:c>
      <x:c r="D18" s="16" t="str">
        <x:v>Place repositories, agents, administration clients and dependent services on premises.</x:v>
      </x:c>
      <x:c r="E18" s="16" t="str">
        <x:v>Core v1 can run locally. Set send_anonymous_usage_stats: false, mirror packages/docs, restrict CI and MCP tools to local services, and verify blocked egress. [D5, A2]</x:v>
      </x:c>
      <x:c r="F18" s="16" t="str">
        <x:v>Inspect every service in the selected local release. Air-gap installation documentation does not prove all optional services remain local.</x:v>
      </x:c>
      <x:c r="G18" s="16" t="str">
        <x:v>Inspect external connections for the engine, cluster, scheduler, catalog, logs and monitoring components.</x:v>
      </x:c>
    </x:row>
    <x:row r="19" ht="85" customHeight="1">
      <x:c r="A19" s="2"/>
      <x:c r="B19" s="17" t="str">
        <x:v>Security, support and staffing</x:v>
      </x:c>
      <x:c r="C19" s="16" t="str">
        <x:v>Require written support and a local-product roadmap, least privilege, secrets management and a procedure for sending support packages.</x:v>
      </x:c>
      <x:c r="D19" s="16" t="str">
        <x:v>Require exact-release support, repository/agent administration, access separation and agreed responsibilities between DBA and ETL teams.</x:v>
      </x:c>
      <x:c r="E19" s="16" t="str">
        <x:v>Oracle maintaining the adapter is not a contractual support commitment. Require an acceptable support route for the full component set.</x:v>
      </x:c>
      <x:c r="F19" s="16" t="str">
        <x:v>Require support for the offered services, security configuration, a cluster team and named on-call/escalation responsibilities.</x:v>
      </x:c>
      <x:c r="G19" s="16" t="str">
        <x:v>Assign security maintenance, upgrades and incident support for every open-source component. The bank or a service provider must accept these responsibilities.</x:v>
      </x:c>
    </x:row>
    <x:row r="20" ht="85" customHeight="1">
      <x:c r="A20" s="2"/>
      <x:c r="B20" s="17" t="str">
        <x:v>Delivery conditions</x:v>
      </x:c>
      <x:c r="C20" s="16" t="str">
        <x:v>Accept correctness, source load, deadlines, recovery and controlled publication using bank data. A licensed recovery feature alone is insufficient.</x:v>
      </x:c>
      <x:c r="D20" s="16" t="str">
        <x:v>Prove correctness and reruns including transaction/commit boundaries. Prevent reports from seeing partially refreshed data.</x:v>
      </x:c>
      <x:c r="E20" s="16" t="str">
        <x:v>Accept ingestion, testing, publication and recovery as well as successful dbt execution. Transformation success is not complete service success.</x:v>
      </x:c>
      <x:c r="F20" s="16" t="str">
        <x:v>Test the cluster and Oracle target together. Platform availability alone does not establish correct transfer or report delivery.</x:v>
      </x:c>
      <x:c r="G20" s="16" t="str">
        <x:v>Test source, checkpoints/intermediate data, target writes and replay together. Task retries must not duplicate business publication.</x:v>
      </x:c>
    </x:row>
    <x:row r="21" ht="85" customHeight="1">
      <x:c r="A21" s="2"/>
      <x:c r="B21" s="17" t="str">
        <x:v>Acceptance evidence</x:v>
      </x:c>
      <x:c r="C21" s="16" t="str">
        <x:v>Installation, execution and recovery with external network access blocked; network records, written support and business/security/service approvals.</x:v>
      </x:c>
      <x:c r="D21" s="16" t="str">
        <x:v>Execution with external access blocked, source-load testing, repository/agent recovery and business/security/service approvals.</x:v>
      </x:c>
      <x:c r="E21" s="16" t="str">
        <x:v>Telemetry/dependency access checks, rebuild from local packages, Oracle compatibility testing and written service acceptance.</x:v>
      </x:c>
      <x:c r="F21" s="16" t="str">
        <x:v>Disconnected operation of the exact product bundle, service dependency inventory, security and data-delivery tests.</x:v>
      </x:c>
      <x:c r="G21" s="16" t="str">
        <x:v>Egress testing of all components, security review, rebuild testing and evidence of delivery without loss or duplicates.</x:v>
      </x:c>
    </x:row>
    <x:row r="22" ht="33" customHeight="1">
      <x:c r="A22" s="2"/>
      <x:c r="B22" s="19" t="str">
        <x:v>Source IDs</x:v>
      </x:c>
      <x:c r="C22" s="19" t="str">
        <x:v>I3, I2</x:v>
      </x:c>
      <x:c r="D22" s="19" t="str">
        <x:v>O1, O2</x:v>
      </x:c>
      <x:c r="E22" s="19" t="str">
        <x:v>D1, D5</x:v>
      </x:c>
      <x:c r="F22" s="19" t="str">
        <x:v>C1, C2</x:v>
      </x:c>
      <x:c r="G22" s="19" t="str">
        <x:v>S2, S3</x:v>
      </x:c>
    </x:row>
    <x:row r="23" ht="24" customHeight="1">
      <x:c r="A23" s="2"/>
      <x:c r="B23" s="2"/>
      <x:c r="C23" s="2"/>
      <x:c r="D23" s="2"/>
      <x:c r="E23" s="2"/>
      <x:c r="F23" s="2"/>
      <x:c r="G23" s="2"/>
    </x:row>
    <x:row r="24" ht="29" customHeight="1">
      <x:c r="A24" s="2"/>
      <x:c r="B24" s="15" t="str">
        <x:v>03  Source integration and data movement</x:v>
      </x:c>
      <x:c r="C24" s="2"/>
      <x:c r="D24" s="2"/>
      <x:c r="E24" s="2"/>
      <x:c r="F24" s="2"/>
      <x:c r="G24" s="2"/>
    </x:row>
    <x:row r="25" ht="27" customHeight="1">
      <x:c r="A25" s="2"/>
      <x:c r="B25" s="2" t="str">
        <x:v>Consistent initial loads, change capture and source protection for Oracle, files and required API flows.</x:v>
      </x:c>
      <x:c r="C25" s="2"/>
      <x:c r="D25" s="2"/>
      <x:c r="E25" s="2"/>
      <x:c r="F25" s="2"/>
      <x:c r="G25" s="2"/>
    </x:row>
    <x:row r="26" ht="40" customHeight="1">
      <x:c r="A26" s="2"/>
      <x:c r="B26" s="7" t="str">
        <x:v>Comparison dimension</x:v>
      </x:c>
      <x:c r="C26" s="7" t="str">
        <x:v>Informatica
PowerCenter</x:v>
      </x:c>
      <x:c r="D26" s="7" t="str">
        <x:v>Oracle ODI</x:v>
      </x:c>
      <x:c r="E26" s="7" t="str">
        <x:v>dbt Core v1
+ Oracle</x:v>
      </x:c>
      <x:c r="F26" s="7" t="str">
        <x:v>Cloudera
(on premises)</x:v>
      </x:c>
      <x:c r="G26" s="7" t="str">
        <x:v>Apache Spark
(on premises)</x:v>
      </x:c>
    </x:row>
    <x:row r="27" ht="85" customHeight="1">
      <x:c r="A27" s="2"/>
      <x:c r="B27" s="17" t="str">
        <x:v>Approach</x:v>
      </x:c>
      <x:c r="C27" s="16" t="str">
        <x:v>Design extraction and target loading through connectors. Validate sources, targets and data types against the connector version offered.</x:v>
      </x:c>
      <x:c r="D27" s="16" t="str">
        <x:v>LKMs define movement and JKMs define change-capture strategies. Inspect how the selected KM affects the source and target.</x:v>
      </x:c>
      <x:c r="E27" s="16" t="str">
        <x:v>Source data must first become accessible in Oracle. An incremental model does not replace a component capturing changes in the source system.</x:v>
      </x:c>
      <x:c r="F27" s="16" t="str">
        <x:v>Use the selected connector/flow service to ingest into the platform. If NiFi is proposed, identify the Flow Management scope separately.</x:v>
      </x:c>
      <x:c r="G27" s="16" t="str">
        <x:v>JDBC and file read/write paths are available. Oracle log-based CDC and API ingestion need additional components or application code.</x:v>
      </x:c>
    </x:row>
    <x:row r="28" ht="108" customHeight="1">
      <x:c r="A28" s="2"/>
      <x:c r="B28" s="17" t="str">
        <x:v>Dependencies and limits</x:v>
      </x:c>
      <x:c r="C28" s="16" t="str">
        <x:v>If PowerExchange or another CDC path is required, identify its license, agent, log access and restart position separately.</x:v>
      </x:c>
      <x:c r="D28" s="16" t="str">
        <x:v>JKM Oracle Simple, Consistent and Consistent (Update Date) use triggers. GoldenGate integration is a separate capture path. Do not propose trigger-based journalizing on a read-only replica; validate redo access and capture topology. [O5]</x:v>
      </x:c>
      <x:c r="E28" s="16" t="str">
        <x:v>The ingestion service must supply a contract for change order, deletes, duplicates and schema changes. Small seed files are not a general ingestion service.</x:v>
      </x:c>
      <x:c r="F28" s="16" t="str">
        <x:v>Include source capture, messaging/intermediate storage, schema management and loading back to Exadata. Account for retention of the additional cluster copy.</x:v>
      </x:c>
      <x:c r="G28" s="16" t="str">
        <x:v>Control concurrent JDBC connections. Partition bounds are not change filters; implement incremental selection separately.</x:v>
      </x:c>
    </x:row>
    <x:row r="29" ht="118" customHeight="1">
      <x:c r="A29" s="2"/>
      <x:c r="B29" s="17" t="str">
        <x:v>Provisional rating / bank rationale</x:v>
      </x:c>
      <x:c r="C29" s="16" t="str">
        <x:v>4/5 | Broad packaged relational/file integration suits the mixed sources. Oracle redo capture remains an extra licensed component; existing TDM brings no assumed entitlement. Confirm web-service/file flows and replica access. [I10, I5, B2, B3]</x:v>
      </x:c>
      <x:c r="D29" s="16" t="str">
        <x:v>4/5 | Oracle/file KMs fit Kale, archive and cheque feeds. GoldenGate remains separate. The Update Date JKM still uses triggers; it is not a trigger-free escape route. Use only approved source paths. [O5, B2]</x:v>
      </x:c>
      <x:c r="E29" s="16" t="str">
        <x:v>2/5 | Good transformation after Oracle landing, but CDC, files and API ingestion need an owned service. Seeds cover small reference CSVs only. This is a solution-completeness gap for the bank. [D1, D8, B3]</x:v>
      </x:c>
      <x:c r="F29" s="16" t="str">
        <x:v>3/5 | Spark JDBC/files cover basic movement; Flow Management and Oracle capture are separately scoped. Additional hops and the Oracle return path increase control requirements. [C3, S1, B2]</x:v>
      </x:c>
      <x:c r="G29" s="16" t="str">
        <x:v>2/5 | JDBC/files are useful primitives; Oracle CDC, API handling and source protection require engineering. Cap connections and establish a common read-consistency point. [S1, S2, B2]</x:v>
      </x:c>
    </x:row>
    <x:row r="30" ht="85" customHeight="1">
      <x:c r="A30" s="2"/>
      <x:c r="B30" s="17" t="str">
        <x:v>Demonstrate in a common test</x:v>
      </x:c>
      <x:c r="C30" s="16" t="str">
        <x:v>Initial load, inserts/updates/deletes, source outage and a duplicate file arrival. Measure source CPU/IO, counts, amounts and duplicates.</x:v>
      </x:c>
      <x:c r="D30" s="16" t="str">
        <x:v>Show the transition from initial load to change capture, required source permissions and loss-free restart. Record KM/driver settings.</x:v>
      </x:c>
      <x:c r="E30" s="16" t="str">
        <x:v>Show the ready signal from ingestion to dbt, delete/late-event information and pipeline behaviour after a source schema change.</x:v>
      </x:c>
      <x:c r="F30" s="16" t="str">
        <x:v>Trace identical records through ingestion and the cluster to Oracle. Test order, duplicates, connection interruption and file quarantine.</x:v>
      </x:c>
      <x:c r="G30" s="16" t="str">
        <x:v>Test connection limits, read consistency, date filters, batch writes and retries of a failed partition.</x:v>
      </x:c>
    </x:row>
    <x:row r="31" ht="33" customHeight="1">
      <x:c r="A31" s="2"/>
      <x:c r="B31" s="19" t="str">
        <x:v>Source IDs</x:v>
      </x:c>
      <x:c r="C31" s="19" t="str">
        <x:v>I10, I5; capture offer required; B2, B3</x:v>
      </x:c>
      <x:c r="D31" s="19" t="str">
        <x:v>O1, O5, B2</x:v>
      </x:c>
      <x:c r="E31" s="19" t="str">
        <x:v>D1, D2</x:v>
      </x:c>
      <x:c r="F31" s="19" t="str">
        <x:v>C3</x:v>
      </x:c>
      <x:c r="G31" s="19" t="str">
        <x:v>S1</x:v>
      </x:c>
    </x:row>
    <x:row r="32" ht="24" customHeight="1">
      <x:c r="A32" s="2"/>
      <x:c r="B32" s="2"/>
      <x:c r="C32" s="2"/>
      <x:c r="D32" s="2"/>
      <x:c r="E32" s="2"/>
      <x:c r="F32" s="2"/>
      <x:c r="G32" s="2"/>
    </x:row>
    <x:row r="33" ht="29" customHeight="1">
      <x:c r="A33" s="2"/>
      <x:c r="B33" s="15" t="str">
        <x:v>04  Transformation and Exadata efficiency</x:v>
      </x:c>
      <x:c r="C33" s="2"/>
      <x:c r="D33" s="2"/>
      <x:c r="E33" s="2"/>
      <x:c r="F33" s="2"/>
      <x:c r="G33" s="2"/>
    </x:row>
    <x:row r="34" ht="27" customHeight="1">
      <x:c r="A34" s="2"/>
      <x:c r="B34" s="2" t="str">
        <x:v>Measure ingestion + transfer + transformation + controls + publication, including resource use with concurrent reporting.</x:v>
      </x:c>
      <x:c r="C34" s="2"/>
      <x:c r="D34" s="2"/>
      <x:c r="E34" s="2"/>
      <x:c r="F34" s="2"/>
      <x:c r="G34" s="2"/>
    </x:row>
    <x:row r="35" ht="40" customHeight="1">
      <x:c r="A35" s="2"/>
      <x:c r="B35" s="7" t="str">
        <x:v>Comparison dimension</x:v>
      </x:c>
      <x:c r="C35" s="7" t="str">
        <x:v>Informatica
PowerCenter</x:v>
      </x:c>
      <x:c r="D35" s="7" t="str">
        <x:v>Oracle ODI</x:v>
      </x:c>
      <x:c r="E35" s="7" t="str">
        <x:v>dbt Core v1
+ Oracle</x:v>
      </x:c>
      <x:c r="F35" s="7" t="str">
        <x:v>Cloudera
(on premises)</x:v>
      </x:c>
      <x:c r="G35" s="7" t="str">
        <x:v>Apache Spark
(on premises)</x:v>
      </x:c>
    </x:row>
    <x:row r="36" ht="85" customHeight="1">
      <x:c r="A36" s="2"/>
      <x:c r="B36" s="17" t="str">
        <x:v>Approach</x:v>
      </x:c>
      <x:c r="C36" s="16" t="str">
        <x:v>Transformations execute in the Integration Service or, where supported, in the database. Pushdown coverage depends on the mapping and functions.</x:v>
      </x:c>
      <x:c r="D36" s="16" t="str">
        <x:v>KMs generate code for source/target execution. Inspect generated SQL and physical mapping design for Oracle transformations.</x:v>
      </x:c>
      <x:c r="E36" s="16" t="str">
        <x:v>SQL models execute in Oracle. Compilation and dependency ordering run locally; Oracle supplies the processing capacity.</x:v>
      </x:c>
      <x:c r="F36" s="16" t="str">
        <x:v>The selected Spark/SQL engine can process data in the cluster. If Exadata remains the target, extraction and return loading are part of the execution path.</x:v>
      </x:c>
      <x:c r="G36" s="16" t="str">
        <x:v>DataFrame/SQL processing runs in the cluster. Some JDBC operations can be pushed down; do not assume the whole workload executes in Oracle.</x:v>
      </x:c>
    </x:row>
    <x:row r="37" ht="108" customHeight="1">
      <x:c r="A37" s="2"/>
      <x:c r="B37" s="17" t="str">
        <x:v>Dependencies and limits</x:v>
      </x:c>
      <x:c r="C37" s="16" t="str">
        <x:v>Oracle Update Strategy supports full pushdown, but rejected rows are not written to reject files in that mode. Full pushdown also changes recovery behavior. Validate complete mappings, explicit reject checks and SQL/resource use. [I1, I8]</x:v>
      </x:c>
      <x:c r="D37" s="16" t="str">
        <x:v>Requires DBA tuning, staging/temp space and parallelism policies. Shared vendor branding is not evidence of lower resource consumption.</x:v>
      </x:c>
      <x:c r="E37" s="16" t="str">
        <x:v>Oracle setup lists ephemeral materialization as unsupported. The adapter repository emphasizes Autonomous Database; SQL compatibility on local Exadata and Python execution must be validated separately. [D1, D4]</x:v>
      </x:c>
      <x:c r="F37" s="16" t="str">
        <x:v>Select cluster queues, executor resources, shuffle/storage and Oracle loading methods. Keep Base and optional-service boundaries explicit.</x:v>
      </x:c>
      <x:c r="G37" s="16" t="str">
        <x:v>Tune JDBC read/write parallelism, driver memory, shuffle and target commits. Use capabilities of the actual selected Spark release.</x:v>
      </x:c>
    </x:row>
    <x:row r="38" ht="118" customHeight="1">
      <x:c r="A38" s="2"/>
      <x:c r="B38" s="17" t="str">
        <x:v>Provisional rating / bank rationale</x:v>
      </x:c>
      <x:c r="C38" s="16" t="str">
        <x:v>3/5 | Oracle pushdown is documented, but mapping/function coverage and different reject/recovery behavior must be tested. No assumption of a fully pushed-down production workload. [I1, I8]</x:v>
      </x:c>
      <x:c r="D38" s="16" t="str">
        <x:v>4/5 | Target-side SQL/KMs are a strong fit for Oracle joins, aggregates and existing SQL knowledge. Verify execution plans and concurrency with reports on sur; no throughput result is claimed. [O1, O5, B2]</x:v>
      </x:c>
      <x:c r="E38" s="16" t="str">
        <x:v>4/5 | SQL models execute in Oracle, offering a direct route for relational EDW work. Validate adapter SQL/materializations on the exact local Exadata database; do not infer Python support from Autonomous examples. [D1, D4]</x:v>
      </x:c>
      <x:c r="F38" s="16" t="str">
        <x:v>2/5 | An additional cluster may help selected workloads, but most bank data is relational and the target stays Oracle. Extraction, shuffle and return loading need a demonstrated benefit. [C1, S1, B2]</x:v>
      </x:c>
      <x:c r="G38" s="16" t="str">
        <x:v>2/5 | Distributed processing is useful only when it beats a tuned Oracle path end to end. JDBC pushdown is selective; source and target contention still apply. [S1, B2]</x:v>
      </x:c>
    </x:row>
    <x:row r="39" ht="85" customHeight="1">
      <x:c r="A39" s="2"/>
      <x:c r="B39" s="17" t="str">
        <x:v>Demonstrate in a common test</x:v>
      </x:c>
      <x:c r="C39" s="16" t="str">
        <x:v>Compare the same mapping with supported pushdown settings. Record plans, row counts, CPU/IO, network traffic and end-to-end time.</x:v>
      </x:c>
      <x:c r="D39" s="16" t="str">
        <x:v>Compare generated SQL with an optimized SQL baseline. Measure completion under parallel jobs and MicroStrategy queries.</x:v>
      </x:c>
      <x:c r="E39" s="16" t="str">
        <x:v>Measure incremental and full-refresh plans. Record Oracle load as historical-correction volume and model concurrency increase.</x:v>
      </x:c>
      <x:c r="F39" s="16" t="str">
        <x:v>Measure extraction and loading as well as cluster transformation time. Record the complete production resource envelope and queue delay.</x:v>
      </x:c>
      <x:c r="G39" s="16" t="str">
        <x:v>Measure source/target load across JDBC/executor configurations. Prove the fastest configuration also respects bank resource limits.</x:v>
      </x:c>
    </x:row>
    <x:row r="40" ht="33" customHeight="1">
      <x:c r="A40" s="2"/>
      <x:c r="B40" s="19" t="str">
        <x:v>Source IDs</x:v>
      </x:c>
      <x:c r="C40" s="19" t="str">
        <x:v>I1</x:v>
      </x:c>
      <x:c r="D40" s="19" t="str">
        <x:v>O1</x:v>
      </x:c>
      <x:c r="E40" s="19" t="str">
        <x:v>D1, D2</x:v>
      </x:c>
      <x:c r="F40" s="19" t="str">
        <x:v>C1, S1</x:v>
      </x:c>
      <x:c r="G40" s="19" t="str">
        <x:v>S1</x:v>
      </x:c>
    </x:row>
    <x:row r="41" ht="24" customHeight="1">
      <x:c r="A41" s="2"/>
      <x:c r="B41" s="2"/>
      <x:c r="C41" s="2"/>
      <x:c r="D41" s="2"/>
      <x:c r="E41" s="2"/>
      <x:c r="F41" s="2"/>
      <x:c r="G41" s="2"/>
    </x:row>
    <x:row r="42" ht="29" customHeight="1">
      <x:c r="A42" s="2"/>
      <x:c r="B42" s="15" t="str">
        <x:v>05  Data correctness, history and reconciliation</x:v>
      </x:c>
      <x:c r="C42" s="2"/>
      <x:c r="D42" s="2"/>
      <x:c r="E42" s="2"/>
      <x:c r="F42" s="2"/>
      <x:c r="G42" s="2"/>
    </x:row>
    <x:row r="43" ht="27" customHeight="1">
      <x:c r="A43" s="2"/>
      <x:c r="B43" s="2" t="str">
        <x:v>Accept business results, not just successful jobs: history, late corrections, deletes, amounts and controlled republication.</x:v>
      </x:c>
      <x:c r="C43" s="2"/>
      <x:c r="D43" s="2"/>
      <x:c r="E43" s="2"/>
      <x:c r="F43" s="2"/>
      <x:c r="G43" s="2"/>
    </x:row>
    <x:row r="44" ht="40" customHeight="1">
      <x:c r="A44" s="2"/>
      <x:c r="B44" s="7" t="str">
        <x:v>Comparison dimension</x:v>
      </x:c>
      <x:c r="C44" s="7" t="str">
        <x:v>Informatica
PowerCenter</x:v>
      </x:c>
      <x:c r="D44" s="7" t="str">
        <x:v>Oracle ODI</x:v>
      </x:c>
      <x:c r="E44" s="7" t="str">
        <x:v>dbt Core v1
+ Oracle</x:v>
      </x:c>
      <x:c r="F44" s="7" t="str">
        <x:v>Cloudera
(on premises)</x:v>
      </x:c>
      <x:c r="G44" s="7" t="str">
        <x:v>Apache Spark
(on premises)</x:v>
      </x:c>
    </x:row>
    <x:row r="45" ht="85" customHeight="1">
      <x:c r="A45" s="2"/>
      <x:c r="B45" s="17" t="str">
        <x:v>Approach</x:v>
      </x:c>
      <x:c r="C45" s="16" t="str">
        <x:v>Implement correctness through mapping rules and target loading strategy. Business reconciliation and history policies are bank-defined rules.</x:v>
      </x:c>
      <x:c r="D45" s="16" t="str">
        <x:v>Use IKM strategies for inserts/updates and history design. CKM checks can be selected; define business reconciliation rules separately.</x:v>
      </x:c>
      <x:c r="E45" s="16" t="str">
        <x:v>Developers design incremental filters and keys. Data tests provide SQL-based checks; implement history and correction rules in the models.</x:v>
      </x:c>
      <x:c r="F45" s="16" t="str">
        <x:v>Correctness depends on the selected engine, table format and publication design. The platform name does not guarantee correct historical adjustments.</x:v>
      </x:c>
      <x:c r="G45" s="16" t="str">
        <x:v>Transformation code and the target protocol determine correctness. Streaming checkpoints do not prove exactly-once business publication to Oracle.</x:v>
      </x:c>
    </x:row>
    <x:row r="46" ht="108" customHeight="1">
      <x:c r="A46" s="2"/>
      <x:c r="B46" s="17" t="str">
        <x:v>Dependencies and limits</x:v>
      </x:c>
      <x:c r="C46" s="16" t="str">
        <x:v>Separate any advanced quality/catalog product included in the offer. Design reject quarantine, business control tables and publication gating.</x:v>
      </x:c>
      <x:c r="D46" s="16" t="str">
        <x:v>Manage KM customizations, commit boundaries and error tables. An SCD option does not automatically handle every backdated business correction.</x:v>
      </x:c>
      <x:c r="E46" s="16" t="str">
        <x:v>Validate key tests, late-data windows and delete behaviour in the adapter. Snapshots do not capture every change occurring between runs.</x:v>
      </x:c>
      <x:c r="F46" s="16" t="str">
        <x:v>Separate table-format transaction guarantees from transfer guarantees to Oracle. Reconcile counts/amounts across both environments using load identifiers.</x:v>
      </x:c>
      <x:c r="G46" s="16" t="str">
        <x:v>Implement run/batch IDs, deduplication and staged Oracle MERGE/publication. foreachBatch defaults to at-least-once writes; neither task retry nor a checkpoint alone prevents duplicate committed rows. [S1, S2]</x:v>
      </x:c>
    </x:row>
    <x:row r="47" ht="118" customHeight="1">
      <x:c r="A47" s="2"/>
      <x:c r="B47" s="17" t="str">
        <x:v>Provisional rating / bank rationale</x:v>
      </x:c>
      <x:c r="C47" s="16" t="str">
        <x:v>3/5 | Mapping/SCD patterns provide building blocks; bank controls remain custom. Full pushdown ignores rejected rows rather than writing a reject file, so add explicit reconciliation/quarantine. [I1, I5, B2]</x:v>
      </x:c>
      <x:c r="D47" s="16" t="str">
        <x:v>3.5/5 | CKM checks and Oracle upsert/SCD KMs reduce common plumbing. Backdated corrections, cross-market member identities and controlled republication still require explicit rules and tests. [O5, B2, B3]</x:v>
      </x:c>
      <x:c r="E47" s="16" t="str">
        <x:v>3/5 | SQL tests and snapshots support quality/history development. They do not capture all between-run source changes or automatically preserve business-effective history. Gate publication after tests. [D2, D3, D6, B2]</x:v>
      </x:c>
      <x:c r="F47" s="16" t="str">
        <x:v>2.5/5 | SQL/Spark can implement bank rules, but cluster-to-Oracle handoff adds reconciliation work. Table transactions alone cannot establish correct final report balances. [S1, S2, B3]</x:v>
      </x:c>
      <x:c r="G47" s="16" t="str">
        <x:v>2.5/5 | Flexible transformation code; business keys, late-data logic and target publication are engineered. foreachBatch is at-least-once by default; persist deduplication/run state. [S2, B2]</x:v>
      </x:c>
    </x:row>
    <x:row r="48" ht="85" customHeight="1">
      <x:c r="A48" s="2"/>
      <x:c r="B48" s="17" t="str">
        <x:v>Demonstrate in a common test</x:v>
      </x:c>
      <x:c r="C48" s="16" t="str">
        <x:v>Load the same business date twice, introduce deletes and historical corrections, and generate rejects. Obtain business approval of counts, amounts and report versions.</x:v>
      </x:c>
      <x:c r="D48" s="16" t="str">
        <x:v>Demonstrate inserts/updates/deletes, SCD, late corrections and reruns after partial commits. Retain traceability between original and corrected reports.</x:v>
      </x:c>
      <x:c r="E48" s="16" t="str">
        <x:v>Introduce duplicate/null keys, late data, full refresh and schema changes. Show that test failures prevent consumer publication.</x:v>
      </x:c>
      <x:c r="F48" s="16" t="str">
        <x:v>Interrupt the cluster table and Oracle target at different points. Reconcile the business-date counts/amounts and confirm a single controlled publication.</x:v>
      </x:c>
      <x:c r="G48" s="16" t="str">
        <x:v>Interrupt an executor/driver during target writes. Show restart without lost or duplicate business keys.</x:v>
      </x:c>
    </x:row>
    <x:row r="49" ht="33" customHeight="1">
      <x:c r="A49" s="2"/>
      <x:c r="B49" s="19" t="str">
        <x:v>Source IDs</x:v>
      </x:c>
      <x:c r="C49" s="19" t="str">
        <x:v>I1, I2; business design</x:v>
      </x:c>
      <x:c r="D49" s="19" t="str">
        <x:v>O1, O2</x:v>
      </x:c>
      <x:c r="E49" s="19" t="str">
        <x:v>D2, D3</x:v>
      </x:c>
      <x:c r="F49" s="19" t="str">
        <x:v>C1; business design</x:v>
      </x:c>
      <x:c r="G49" s="19" t="str">
        <x:v>S1, S2</x:v>
      </x:c>
    </x:row>
    <x:row r="50" ht="24" customHeight="1">
      <x:c r="A50" s="2"/>
      <x:c r="B50" s="2"/>
      <x:c r="C50" s="2"/>
      <x:c r="D50" s="2"/>
      <x:c r="E50" s="2"/>
      <x:c r="F50" s="2"/>
      <x:c r="G50" s="2"/>
    </x:row>
    <x:row r="51" ht="29" customHeight="1">
      <x:c r="A51" s="2"/>
      <x:c r="B51" s="15" t="str">
        <x:v>06  Scheduling, operational reporting and recovery</x:v>
      </x:c>
      <x:c r="C51" s="2"/>
      <x:c r="D51" s="2"/>
      <x:c r="E51" s="2"/>
      <x:c r="F51" s="2"/>
      <x:c r="G51" s="2"/>
    </x:row>
    <x:row r="52" ht="27" customHeight="1">
      <x:c r="A52" s="2"/>
      <x:c r="B52" s="2" t="str">
        <x:v>Cover business dates and end-of-day signals, batch/intraday delivery, replay and protection from incomplete report data.</x:v>
      </x:c>
      <x:c r="C52" s="2"/>
      <x:c r="D52" s="2"/>
      <x:c r="E52" s="2"/>
      <x:c r="F52" s="2"/>
      <x:c r="G52" s="2"/>
    </x:row>
    <x:row r="53" ht="40" customHeight="1">
      <x:c r="A53" s="2"/>
      <x:c r="B53" s="7" t="str">
        <x:v>Comparison dimension</x:v>
      </x:c>
      <x:c r="C53" s="7" t="str">
        <x:v>Informatica
PowerCenter</x:v>
      </x:c>
      <x:c r="D53" s="7" t="str">
        <x:v>Oracle ODI</x:v>
      </x:c>
      <x:c r="E53" s="7" t="str">
        <x:v>dbt Core v1
+ Oracle</x:v>
      </x:c>
      <x:c r="F53" s="7" t="str">
        <x:v>Cloudera
(on premises)</x:v>
      </x:c>
      <x:c r="G53" s="7" t="str">
        <x:v>Apache Spark
(on premises)</x:v>
      </x:c>
    </x:row>
    <x:row r="54" ht="85" customHeight="1">
      <x:c r="A54" s="2"/>
      <x:c r="B54" s="17" t="str">
        <x:v>Approach</x:v>
      </x:c>
      <x:c r="C54" s="16" t="str">
        <x:v>Use workflows/sessions and configured recovery strategies. Resume behaviour depends on the task and licensed capabilities.</x:v>
      </x:c>
      <x:c r="D54" s="16" t="str">
        <x:v>Load Plans support serial/parallel/conditional steps and restart behaviour. They can be invoked by the agent or an external scheduler.</x:v>
      </x:c>
      <x:c r="E54" s="16" t="str">
        <x:v>Invoke Core from an external scheduler. Model dependencies alone do not cover enterprise calendars or the complete ingestion/publication schedule.</x:v>
      </x:c>
      <x:c r="F54" s="16" t="str">
        <x:v>Schedule through the selected service; identify Base/Oozie or additional-service scope for the release. Cluster management and business scheduling are separate responsibilities.</x:v>
      </x:c>
      <x:c r="G54" s="16" t="str">
        <x:v>spark-submit launches applications. Business calendars, dependencies, alerting and retry policies require orchestration.</x:v>
      </x:c>
    </x:row>
    <x:row r="55" ht="108" customHeight="1">
      <x:c r="A55" s="2"/>
      <x:c r="B55" s="17" t="str">
        <x:v>Dependencies and limits</x:v>
      </x:c>
      <x:c r="C55" s="16" t="str">
        <x:v>Requires enterprise-scheduler integration, shared recovery state, target business controls and a report-publication mechanism.</x:v>
      </x:c>
      <x:c r="D55" s="16" t="str">
        <x:v>ODI does not retain open JDBC transaction state after failure. Restart from a boundary consistent with committed target data; use the Load Plan concurrency limit and a business-run lock. [O2, O4]</x:v>
      </x:c>
      <x:c r="E55" s="16" t="str">
        <x:v>Local orchestration must manage business date, timeout, retry, ingestion readiness, testing and publication. Code rollback alone is not data rollback.</x:v>
      </x:c>
      <x:c r="F55" s="16" t="str">
        <x:v>Requires unified monitoring and DR for the scheduler, cluster services, intermediate data and Oracle delivery step.</x:v>
      </x:c>
      <x:c r="G55" s="16" t="str">
        <x:v>Design durable checkpoints, restart, target transactions and backlog handling. Long-running streaming interruptions require different treatment from batch failures.</x:v>
      </x:c>
    </x:row>
    <x:row r="56" ht="118" customHeight="1">
      <x:c r="A56" s="2"/>
      <x:c r="B56" s="17" t="str">
        <x:v>Provisional rating / bank rationale</x:v>
      </x:c>
      <x:c r="C56" s="16" t="str">
        <x:v>3.5/5 | Workflows and recovery suit scheduled reporting. Full pushdown cannot use incremental session recovery; test rollback/rerun and published data separately. Business calendars/readiness still need integration. [I6, I8, B2]</x:v>
      </x:c>
      <x:c r="D56" s="16" t="str">
        <x:v>4/5 | Load Plans provide conditional/parallel steps and restart options. Integrate business-date readiness rather than a fixed 03:00 trigger; limit concurrent runs and validate partially committed work. [O2, O4, B2]</x:v>
      </x:c>
      <x:c r="E56" s="16" t="str">
        <x:v>2.5/5 | CLI/DAG execution is straightforward, but readiness, calendars, alerts, HA and report publication need external operations. A model rebuild is not a complete service recovery. [D1, D9, B2]</x:v>
      </x:c>
      <x:c r="F56" s="16" t="str">
        <x:v>2.5/5 | Manager helps platform health; business scheduling and final Oracle publication remain separate. More services and queues increase the recovery surface for critical reports. [C7, S4, B3]</x:v>
      </x:c>
      <x:c r="G56" s="16" t="str">
        <x:v>2/5 | Task retries/checkpoints are not bank scheduling or DR. Orchestration, calendar handling and business-safe replay are custom or additional components. [S2, S4, B2]</x:v>
      </x:c>
    </x:row>
    <x:row r="57" ht="85" customHeight="1">
      <x:c r="A57" s="2"/>
      <x:c r="B57" s="17" t="str">
        <x:v>Demonstrate in a common test</x:v>
      </x:c>
      <x:c r="C57" s="16" t="str">
        <x:v>Introduce a late end-of-day signal, calendar exception and target outage. Measure operator intervention, alerts and correct publication time.</x:v>
      </x:c>
      <x:c r="D57" s="16" t="str">
        <x:v>If Automic usage is confirmed, demonstrate Load Plan invocation/status exchange. Resume from the correct task and business date after repository/agent failure.</x:v>
      </x:c>
      <x:c r="E57" s="16" t="str">
        <x:v>Execute scheduler→ingestion→dbt→tests→publication. Demonstrate duplicate triggering, timeout and replay of the same business run.</x:v>
      </x:c>
      <x:c r="F57" s="16" t="str">
        <x:v>Show priority for critical operational reports during queue saturation and service outages. Complete Oracle delivery after DR.</x:v>
      </x:c>
      <x:c r="G57" s="16" t="str">
        <x:v>Test checkpoint loss/driver failure and accumulated backlog. Measure RPO/RTO, duplicates and report-readiness signals together.</x:v>
      </x:c>
    </x:row>
    <x:row r="58" ht="33" customHeight="1">
      <x:c r="A58" s="2"/>
      <x:c r="B58" s="19" t="str">
        <x:v>Source IDs</x:v>
      </x:c>
      <x:c r="C58" s="19" t="str">
        <x:v>I2</x:v>
      </x:c>
      <x:c r="D58" s="19" t="str">
        <x:v>O2</x:v>
      </x:c>
      <x:c r="E58" s="19" t="str">
        <x:v>D2, D3; service design</x:v>
      </x:c>
      <x:c r="F58" s="19" t="str">
        <x:v>C1, C7, S4</x:v>
      </x:c>
      <x:c r="G58" s="19" t="str">
        <x:v>S2, S4</x:v>
      </x:c>
    </x:row>
    <x:row r="59" ht="24" customHeight="1">
      <x:c r="A59" s="2"/>
      <x:c r="B59" s="2"/>
      <x:c r="C59" s="2"/>
      <x:c r="D59" s="2"/>
      <x:c r="E59" s="2"/>
      <x:c r="F59" s="2"/>
      <x:c r="G59" s="2"/>
    </x:row>
    <x:row r="60" ht="29" customHeight="1">
      <x:c r="A60" s="2"/>
      <x:c r="B60" s="15" t="str">
        <x:v>07  Security, metadata and auditability</x:v>
      </x:c>
      <x:c r="C60" s="2"/>
      <x:c r="D60" s="2"/>
      <x:c r="E60" s="2"/>
      <x:c r="F60" s="2"/>
      <x:c r="G60" s="2"/>
    </x:row>
    <x:row r="61" ht="27" customHeight="1">
      <x:c r="A61" s="2"/>
      <x:c r="B61" s="2" t="str">
        <x:v>Minimum security is mandatory; scoring measures required control coverage, traceability and operational usability.</x:v>
      </x:c>
      <x:c r="C61" s="2"/>
      <x:c r="D61" s="2"/>
      <x:c r="E61" s="2"/>
      <x:c r="F61" s="2"/>
      <x:c r="G61" s="2"/>
    </x:row>
    <x:row r="62" ht="40" customHeight="1">
      <x:c r="A62" s="2"/>
      <x:c r="B62" s="7" t="str">
        <x:v>Comparison dimension</x:v>
      </x:c>
      <x:c r="C62" s="7" t="str">
        <x:v>Informatica
PowerCenter</x:v>
      </x:c>
      <x:c r="D62" s="7" t="str">
        <x:v>Oracle ODI</x:v>
      </x:c>
      <x:c r="E62" s="7" t="str">
        <x:v>dbt Core v1
+ Oracle</x:v>
      </x:c>
      <x:c r="F62" s="7" t="str">
        <x:v>Cloudera
(on premises)</x:v>
      </x:c>
      <x:c r="G62" s="7" t="str">
        <x:v>Apache Spark
(on premises)</x:v>
      </x:c>
    </x:row>
    <x:row r="63" ht="85" customHeight="1">
      <x:c r="A63" s="2"/>
      <x:c r="B63" s="17" t="str">
        <x:v>Approach</x:v>
      </x:c>
      <x:c r="C63" s="16" t="str">
        <x:v>The product repository and runtime logs contain process metadata. Scope enterprise source-column-to-report lineage separately.</x:v>
      </x:c>
      <x:c r="D63" s="16" t="str">
        <x:v>Repository/topology/security models and execution records are available. Design dependencies do not imply complete lineage through MicroStrategy.</x:v>
      </x:c>
      <x:c r="E63" s="16" t="str">
        <x:v>Use project dependencies, test results and compilation artifacts. Manage Oracle permissions and local-runner access separately.</x:v>
      </x:c>
      <x:c r="F63" s="16" t="str">
        <x:v>Services such as Ranger and Atlas form part of the security/metadata architecture. Actual coverage depends on the selected services and integrations.</x:v>
      </x:c>
      <x:c r="G63" s="16" t="str">
        <x:v>Configure engine security. Assess identity, networks, UI, logs and application permissions together with the cluster manager and other components.</x:v>
      </x:c>
    </x:row>
    <x:row r="64" ht="85" customHeight="1">
      <x:c r="A64" s="2"/>
      <x:c r="B64" s="17" t="str">
        <x:v>Dependencies and limits</x:v>
      </x:c>
      <x:c r="C64" s="16" t="str">
        <x:v>Validate required catalog/lineage scanners, central log collection, sensitive-field masking and secrets management separately.</x:v>
      </x:c>
      <x:c r="D64" s="16" t="str">
        <x:v>Include catalog integration, custom SQL/PLSQL lineage, log retention and credential/connection management.</x:v>
      </x:c>
      <x:c r="E64" s="16" t="str">
        <x:v>Add artifact/documentation retention, enterprise catalog integration, secrets and role separation. A dependency graph is not automatically complete column lineage.</x:v>
      </x:c>
      <x:c r="F64" s="16" t="str">
        <x:v>Test the objects covered by Atlas/other catalog connectors at Oracle ingestion, output and reporting boundaries.</x:v>
      </x:c>
      <x:c r="G64" s="16" t="str">
        <x:v>Select local IAM, secrets, encryption, audit/log, catalog and lineage components. Restrict application code access to external systems separately.</x:v>
      </x:c>
    </x:row>
    <x:row r="65" ht="118" customHeight="1">
      <x:c r="A65" s="2"/>
      <x:c r="B65" s="17" t="str">
        <x:v>Provisional rating / bank rationale</x:v>
      </x:c>
      <x:c r="C65" s="16" t="str">
        <x:v>3/5 | Central repository and workflow records are useful. Confirm roles/secrets and price source-to-MicroStrategy lineage separately; TDM use does not establish these capabilities. [I9, I10, B2]</x:v>
      </x:c>
      <x:c r="D65" s="16" t="str">
        <x:v>3/5 | Repository controls and execution records give a workable base. PowerDesigner ownership, custom PL/SQL lineage and MicroStrategy endpoints still require integration. [O1, O4, B4]</x:v>
      </x:c>
      <x:c r="E65" s="16" t="str">
        <x:v>2.5/5 | Versioned code and artifacts support review; identity, secrets, audit retention and cross-tool lineage are external responsibilities. Disable usage statistics and inspect all package/MCP connections. [D5, A2, B4]</x:v>
      </x:c>
      <x:c r="F65" s="16" t="str">
        <x:v>3.5/5 | Ranger/Atlas/Manager provide useful platform services where deployed. Credit is limited to covered services; Oracle/report lineage and sensitive-field controls must be demonstrated. [C3, C4, C7, B4]</x:v>
      </x:c>
      <x:c r="G65" s="16" t="str">
        <x:v>2/5 | Security is not enabled by default. Assemble IAM, secret handling, audit and lineage across engine/cluster/target; core Spark alone is insufficient. [S3, S6, B4]</x:v>
      </x:c>
    </x:row>
    <x:row r="66" ht="85" customHeight="1">
      <x:c r="A66" s="2"/>
      <x:c r="B66" s="17" t="str">
        <x:v>Demonstrate in a common test</x:v>
      </x:c>
      <x:c r="C66" s="16" t="str">
        <x:v>Trace a sensitive field from source to report, deny unauthorized access and show log masking. Record additional products used.</x:v>
      </x:c>
      <x:c r="D66" s="16" t="str">
        <x:v>Demonstrate access changes, secret rotation and report impact analysis for a flow containing custom SQL.</x:v>
      </x:c>
      <x:c r="E66" s="16" t="str">
        <x:v>Test secret leakage, CI/runtime separation, artifact retention and report impact of a column change.</x:v>
      </x:c>
      <x:c r="F66" s="16" t="str">
        <x:v>Test Ranger policies and audit records. Explicitly list gaps between Atlas coverage, the Oracle target and reporting.</x:v>
      </x:c>
      <x:c r="G66" s="16" t="str">
        <x:v>Test UI/driver/executor access. Revoke a service account and inspect logs; show source-code-target-report traceability and gaps.</x:v>
      </x:c>
    </x:row>
    <x:row r="67" ht="33" customHeight="1">
      <x:c r="A67" s="2"/>
      <x:c r="B67" s="19" t="str">
        <x:v>Source IDs</x:v>
      </x:c>
      <x:c r="C67" s="19" t="str">
        <x:v>I4; integration required</x:v>
      </x:c>
      <x:c r="D67" s="19" t="str">
        <x:v>O1, O3</x:v>
      </x:c>
      <x:c r="E67" s="19" t="str">
        <x:v>D1, D3</x:v>
      </x:c>
      <x:c r="F67" s="19" t="str">
        <x:v>C3, C4, C7; B4</x:v>
      </x:c>
      <x:c r="G67" s="19" t="str">
        <x:v>S3</x:v>
      </x:c>
    </x:row>
    <x:row r="68" ht="24" customHeight="1">
      <x:c r="A68" s="2"/>
      <x:c r="B68" s="2"/>
      <x:c r="C68" s="2"/>
      <x:c r="D68" s="2"/>
      <x:c r="E68" s="2"/>
      <x:c r="F68" s="2"/>
      <x:c r="G68" s="2"/>
    </x:row>
    <x:row r="69" ht="29" customHeight="1">
      <x:c r="A69" s="2"/>
      <x:c r="B69" s="15" t="str">
        <x:v>08  Development, testing and change management</x:v>
      </x:c>
      <x:c r="C69" s="2"/>
      <x:c r="D69" s="2"/>
      <x:c r="E69" s="2"/>
      <x:c r="F69" s="2"/>
      <x:c r="G69" s="2"/>
    </x:row>
    <x:row r="70" ht="27" customHeight="1">
      <x:c r="A70" s="2"/>
      <x:c r="B70" s="2" t="str">
        <x:v>The bank’s team must be able to implement, review, test and safely release a change.</x:v>
      </x:c>
      <x:c r="C70" s="2"/>
      <x:c r="D70" s="2"/>
      <x:c r="E70" s="2"/>
      <x:c r="F70" s="2"/>
      <x:c r="G70" s="2"/>
    </x:row>
    <x:row r="71" ht="40" customHeight="1">
      <x:c r="A71" s="2"/>
      <x:c r="B71" s="7" t="str">
        <x:v>Comparison dimension</x:v>
      </x:c>
      <x:c r="C71" s="7" t="str">
        <x:v>Informatica
PowerCenter</x:v>
      </x:c>
      <x:c r="D71" s="7" t="str">
        <x:v>Oracle ODI</x:v>
      </x:c>
      <x:c r="E71" s="7" t="str">
        <x:v>dbt Core v1
+ Oracle</x:v>
      </x:c>
      <x:c r="F71" s="7" t="str">
        <x:v>Cloudera
(on premises)</x:v>
      </x:c>
      <x:c r="G71" s="7" t="str">
        <x:v>Apache Spark
(on premises)</x:v>
      </x:c>
    </x:row>
    <x:row r="72" ht="85" customHeight="1">
      <x:c r="A72" s="2"/>
      <x:c r="B72" s="17" t="str">
        <x:v>Approach</x:v>
      </x:c>
      <x:c r="C72" s="16" t="str">
        <x:v>Visual mappings and repository objects. Assess PowerCenter repository versioning/team development separately from a source-code Git workflow.</x:v>
      </x:c>
      <x:c r="D72" s="16" t="str">
        <x:v>Visual mappings, KMs and scenarios, with documented external VCS integration. Review objects and generated code together.</x:v>
      </x:c>
      <x:c r="E72" s="16" t="str">
        <x:v>SQL/YAML and macros form a text-based project. Data tests can join the development workflow. Pin compatible Core/adapter versions.</x:v>
      </x:c>
      <x:c r="F72" s="16" t="str">
        <x:v>The developer experience depends on the selected engine and tools. Spark code, SQL, flow design and notebooks are different change types.</x:v>
      </x:c>
      <x:c r="G72" s="16" t="str">
        <x:v>Select Python/Scala/SQL applications and a testing framework. Building CI is engineering work alongside product selection.</x:v>
      </x:c>
    </x:row>
    <x:row r="73" ht="85" customHeight="1">
      <x:c r="A73" s="2"/>
      <x:c r="B73" s="17" t="str">
        <x:v>Dependencies and limits</x:v>
      </x:c>
      <x:c r="C73" s="16" t="str">
        <x:v>Confirm repository-versioning entitlement, export/deployment automation, test data and environment configuration. Committing exports to Git does not prove semantic merging.</x:v>
      </x:c>
      <x:c r="D73" s="16" t="str">
        <x:v>Test Git workflow, KM customizations, context/connection separation and automated deployment. Select scenario versions explicitly.</x:v>
      </x:c>
      <x:c r="E73" s="16" t="str">
        <x:v>Requires local Git/CI, a dependency mirror, test data and release approval. Exclude adapter-unsupported features from project standards.</x:v>
      </x:c>
      <x:c r="F73" s="16" t="str">
        <x:v>Choose Git, artifact/image repositories, environment settings and upgrade tests for each tool. Platform services add version dependencies.</x:v>
      </x:c>
      <x:c r="G73" s="16" t="str">
        <x:v>Establish unit/integration tests, packaging, dependency pinning, driver compatibility and deployment/rollback standards.</x:v>
      </x:c>
    </x:row>
    <x:row r="74" ht="118" customHeight="1">
      <x:c r="A74" s="2"/>
      <x:c r="B74" s="17" t="str">
        <x:v>Provisional rating / bank rationale</x:v>
      </x:c>
      <x:c r="C74" s="16" t="str">
        <x:v>2.5/5 | Visual mappings are approachable, but repository exports/versioning need a demonstrated review and deployment workflow. Git storage alone does not provide meaningful mapping merges. [I13, I4]</x:v>
      </x:c>
      <x:c r="D74" s="16" t="str">
        <x:v>3/5 | Documented Git integration plus scenarios/contexts provide a credible release path. Review generated SQL and custom KMs; test conflict handling and rollback. [O3, O4]</x:v>
      </x:c>
      <x:c r="E74" s="16" t="str">
        <x:v>4/5 | SQL/YAML/Jinja suit local Git review and automated SQL tests. Pin Core v1, adapter and packages; prove offline CI and separate code rollback from data restoration. [D3, D4, D9]</x:v>
      </x:c>
      <x:c r="F74" s="16" t="str">
        <x:v>3/5 | Spark applications can use conventional code review/testing; mixed notebooks, flows and service configurations need consistent release standards. Do not credit unselected developer services. [S4, C3]</x:v>
      </x:c>
      <x:c r="G74" s="16" t="str">
        <x:v>3.5/5 | Text Python/Scala/SQL applications support strong software-engineering workflows. Frameworks, test harnesses and deployment automation remain bank-owned work. [S4, S5]</x:v>
      </x:c>
    </x:row>
    <x:row r="75" ht="85" customHeight="1">
      <x:c r="A75" s="2"/>
      <x:c r="B75" s="17" t="str">
        <x:v>Demonstrate in a common test</x:v>
      </x:c>
      <x:c r="C75" s="16" t="str">
        <x:v>Have two developers add a column and change a business rule. Measure diff review, testing, deployment and rollback effort.</x:v>
      </x:c>
      <x:c r="D75" s="16" t="str">
        <x:v>Deploy the same change through KMs/scenarios and contexts. Demonstrate Git conflicts, automated deployment and return to an earlier version.</x:v>
      </x:c>
      <x:c r="E75" s="16" t="str">
        <x:v>Show model/test changes, CI failure and release rollback. Record separate data-restoration steps when the schema has changed.</x:v>
      </x:c>
      <x:c r="F75" s="16" t="str">
        <x:v>Have the bank’s team implement a change using the chosen standard. Show package and service compatibility across dev/test/prod.</x:v>
      </x:c>
      <x:c r="G75" s="16" t="str">
        <x:v>Demonstrate review, tests, packaging and a dependency-upgrade failure. Reproduce the same package in a clean environment.</x:v>
      </x:c>
    </x:row>
    <x:row r="76" ht="33" customHeight="1">
      <x:c r="A76" s="2"/>
      <x:c r="B76" s="19" t="str">
        <x:v>Source IDs</x:v>
      </x:c>
      <x:c r="C76" s="19" t="str">
        <x:v>I4</x:v>
      </x:c>
      <x:c r="D76" s="19" t="str">
        <x:v>O3</x:v>
      </x:c>
      <x:c r="E76" s="19" t="str">
        <x:v>D1, D3, D4</x:v>
      </x:c>
      <x:c r="F76" s="19" t="str">
        <x:v>C1; design required</x:v>
      </x:c>
      <x:c r="G76" s="19" t="str">
        <x:v>S4; design required</x:v>
      </x:c>
    </x:row>
    <x:row r="77" ht="24" customHeight="1">
      <x:c r="A77" s="2"/>
      <x:c r="B77" s="2"/>
      <x:c r="C77" s="2"/>
      <x:c r="D77" s="2"/>
      <x:c r="E77" s="2"/>
      <x:c r="F77" s="2"/>
      <x:c r="G77" s="2"/>
    </x:row>
    <x:row r="78" ht="29" customHeight="1">
      <x:c r="A78" s="2"/>
      <x:c r="B78" s="15" t="str">
        <x:v>09  Operating model, support and lifecycle</x:v>
      </x:c>
      <x:c r="C78" s="2"/>
      <x:c r="D78" s="2"/>
      <x:c r="E78" s="2"/>
      <x:c r="F78" s="2"/>
      <x:c r="G78" s="2"/>
    </x:row>
    <x:row r="79" ht="27" customHeight="1">
      <x:c r="A79" s="2"/>
      <x:c r="B79" s="2" t="str">
        <x:v>Name who diagnoses, fixes and supports a 03:00 incident; maintain a sustainable upgrade and handover process.</x:v>
      </x:c>
      <x:c r="C79" s="2"/>
      <x:c r="D79" s="2"/>
      <x:c r="E79" s="2"/>
      <x:c r="F79" s="2"/>
      <x:c r="G79" s="2"/>
    </x:row>
    <x:row r="80" ht="40" customHeight="1">
      <x:c r="A80" s="2"/>
      <x:c r="B80" s="7" t="str">
        <x:v>Comparison dimension</x:v>
      </x:c>
      <x:c r="C80" s="7" t="str">
        <x:v>Informatica
PowerCenter</x:v>
      </x:c>
      <x:c r="D80" s="7" t="str">
        <x:v>Oracle ODI</x:v>
      </x:c>
      <x:c r="E80" s="7" t="str">
        <x:v>dbt Core v1
+ Oracle</x:v>
      </x:c>
      <x:c r="F80" s="7" t="str">
        <x:v>Cloudera
(on premises)</x:v>
      </x:c>
      <x:c r="G80" s="7" t="str">
        <x:v>Apache Spark
(on premises)</x:v>
      </x:c>
    </x:row>
    <x:row r="81" ht="85" customHeight="1">
      <x:c r="A81" s="2"/>
      <x:c r="B81" s="17" t="str">
        <x:v>Approach</x:v>
      </x:c>
      <x:c r="C81" s="16" t="str">
        <x:v>Assess vendor/partner support against the actual offer. Obtain written support horizons for the local product release.</x:v>
      </x:c>
      <x:c r="D81" s="16" t="str">
        <x:v>Define Oracle/partner support with explicit boundaries for agent, repository, KM, driver and database incidents.</x:v>
      </x:c>
      <x:c r="E81" s="16" t="str">
        <x:v>Separate Oracle adapter maintenance from contractual incident support. The official Oracle setup page labels dbt support as not supported.</x:v>
      </x:c>
      <x:c r="F81" s="16" t="str">
        <x:v>Define Cloudera/partner support for the services covered by the distribution. Do not assume custom code and external components share that contract.</x:v>
      </x:c>
      <x:c r="G81" s="16" t="str">
        <x:v>Using an Apache project does not supply the bank with an incident SLA. The bank or a provider must own the entire production service.</x:v>
      </x:c>
    </x:row>
    <x:row r="82" ht="85" customHeight="1">
      <x:c r="A82" s="2"/>
      <x:c r="B82" s="17" t="str">
        <x:v>Dependencies and limits</x:v>
      </x:c>
      <x:c r="C82" s="16" t="str">
        <x:v>PowerCenter administrator, ETL developers, DBAs and platform on-call coverage. Check whether add-ons have separate support routes.</x:v>
      </x:c>
      <x:c r="D82" s="16" t="str">
        <x:v>ODI/KM specialist, DBA and agent/repository administration. Name upgrade owners for middleware and custom KMs.</x:v>
      </x:c>
      <x:c r="E82" s="16" t="str">
        <x:v>SQL/analytics engineering plus ingestion, CI, Python/driver and scheduler operations. Assign responsibility for package/adapter fixes.</x:v>
      </x:c>
      <x:c r="F82" s="16" t="str">
        <x:v>Cluster, storage, security and data-engineering roles. Maintain multi-service upgrade sequencing and compatibility matrices.</x:v>
      </x:c>
      <x:c r="G82" s="16" t="str">
        <x:v>Distributed-systems, data-engineering and platform teams. Operate Spark, JDK/Python, drivers, orchestrator and storage dependencies.</x:v>
      </x:c>
    </x:row>
    <x:row r="83" ht="118" customHeight="1">
      <x:c r="A83" s="2"/>
      <x:c r="B83" s="17" t="str">
        <x:v>Provisional rating / bank rationale</x:v>
      </x:c>
      <x:c r="C83" s="16" t="str">
        <x:v>3/5 | A commercial support route is plausible, but exact local-product lifecycle, specialist staffing and CDC ownership are unconfirmed. Existing TDM administration is not proof of PowerCenter readiness. [I10, B2]</x:v>
      </x:c>
      <x:c r="D83" s="16" t="str">
        <x:v>4/5 | Best alignment with the recorded Oracle/SQL estate, subject to validation of actual team capacity. Assign ODI/KM ownership and obtain release, middleware and CDC support terms. [O1, O4, B2]</x:v>
      </x:c>
      <x:c r="E83" s="16" t="str">
        <x:v>2/5 | Official setup lists dbt support as not supported; Oracle-maintained source is not an incident SLA. Require written adapter/full-stack support and a reproducible offline build. [D1, D4]</x:v>
      </x:c>
      <x:c r="F83" s="16" t="str">
        <x:v>2/5 | Commercial platform support helps, but the notes do not establish a staffed Cloudera operation. Cluster, storage, security and service upgrades add roles beyond the Oracle team. [C1, L5, B2]</x:v>
      </x:c>
      <x:c r="G83" s="16" t="str">
        <x:v>1.5/5 | No contractual incident service comes from the Apache engine. Platform engineering, dependencies and custom framework support need a named provider/team not evidenced in the notes. [S3, S4, B2]</x:v>
      </x:c>
    </x:row>
    <x:row r="84" ht="85" customHeight="1">
      <x:c r="A84" s="2"/>
      <x:c r="B84" s="17" t="str">
        <x:v>Demonstrate in a common test</x:v>
      </x:c>
      <x:c r="C84" s="16" t="str">
        <x:v>Run diagnosis, vendor escalation, patching and repository restore with the bank’s on-call team. Measure intervention time and roles involved.</x:v>
      </x:c>
      <x:c r="D84" s="16" t="str">
        <x:v>Use a runbook distinguishing KM, agent and Oracle faults. Show repository backups, driver changes and upgrade rollback.</x:v>
      </x:c>
      <x:c r="E84" s="16" t="str">
        <x:v>Show who fixes an adapter/dependency failure. Rebuild from local packages and perform a team handover.</x:v>
      </x:c>
      <x:c r="F84" s="16" t="str">
        <x:v>Run a service-failure and rolling/planned-maintenance exercise. Record unavailable components and contractual support boundaries.</x:v>
      </x:c>
      <x:c r="G84" s="16" t="str">
        <x:v>Exercise ownership for driver, cluster and connector failures. Measure patching, capacity expansion, handover and clean-rebuild effort.</x:v>
      </x:c>
    </x:row>
    <x:row r="85" ht="33" customHeight="1">
      <x:c r="A85" s="2"/>
      <x:c r="B85" s="19" t="str">
        <x:v>Source IDs</x:v>
      </x:c>
      <x:c r="C85" s="19" t="str">
        <x:v>I10, B2; written support offer required</x:v>
      </x:c>
      <x:c r="D85" s="19" t="str">
        <x:v>O2, O3; quote required</x:v>
      </x:c>
      <x:c r="E85" s="19" t="str">
        <x:v>D1, D4</x:v>
      </x:c>
      <x:c r="F85" s="19" t="str">
        <x:v>C1; quote required</x:v>
      </x:c>
      <x:c r="G85" s="19" t="str">
        <x:v>S3, S4; service agreement</x:v>
      </x:c>
    </x:row>
    <x:row r="86" ht="24" customHeight="1">
      <x:c r="A86" s="2"/>
      <x:c r="B86" s="2"/>
      <x:c r="C86" s="2"/>
      <x:c r="D86" s="2"/>
      <x:c r="E86" s="2"/>
      <x:c r="F86" s="2"/>
      <x:c r="G86" s="2"/>
    </x:row>
    <x:row r="87" ht="29" customHeight="1">
      <x:c r="A87" s="2"/>
      <x:c r="B87" s="15" t="str">
        <x:v>10  Five-year cost and exit effort</x:v>
      </x:c>
      <x:c r="C87" s="2"/>
      <x:c r="D87" s="2"/>
      <x:c r="E87" s="2"/>
      <x:c r="F87" s="2"/>
      <x:c r="G87" s="2"/>
    </x:row>
    <x:row r="88" ht="27" customHeight="1">
      <x:c r="A88" s="2"/>
      <x:c r="B88" s="2" t="str">
        <x:v>Cost rating is unassessed for every candidate. No comparable quotations, staffing estimates or validated capacity plan were found.</x:v>
      </x:c>
      <x:c r="C88" s="2"/>
      <x:c r="D88" s="2"/>
      <x:c r="E88" s="2"/>
      <x:c r="F88" s="2"/>
      <x:c r="G88" s="2"/>
    </x:row>
    <x:row r="89" ht="40" customHeight="1">
      <x:c r="A89" s="2"/>
      <x:c r="B89" s="7" t="str">
        <x:v>Comparison dimension</x:v>
      </x:c>
      <x:c r="C89" s="7" t="str">
        <x:v>Informatica
PowerCenter</x:v>
      </x:c>
      <x:c r="D89" s="7" t="str">
        <x:v>Oracle ODI</x:v>
      </x:c>
      <x:c r="E89" s="7" t="str">
        <x:v>dbt Core v1
+ Oracle</x:v>
      </x:c>
      <x:c r="F89" s="7" t="str">
        <x:v>Cloudera
(on premises)</x:v>
      </x:c>
      <x:c r="G89" s="7" t="str">
        <x:v>Apache Spark
(on premises)</x:v>
      </x:c>
    </x:row>
    <x:row r="90" ht="106" customHeight="1">
      <x:c r="A90" s="2"/>
      <x:c r="B90" s="17" t="str">
        <x:v>Cost structure (assessment)</x:v>
      </x:c>
      <x:c r="C90" s="16" t="str">
        <x:v>UNASSESSED | New PowerCenter/CDC/connector rights, engine and repositories, support and staffing. Recorded TDM entitlement is not an offset to this price without written rights. [B2, T1]</x:v>
      </x:c>
      <x:c r="D90" s="16" t="str">
        <x:v>UNASSESSED | ODI, selected agent/middleware, CDC, repository, Oracle capacity and team effort. Existing Exadata is a shared resource, not free incremental capacity. [L2, T1]</x:v>
      </x:c>
      <x:c r="E90" s="16" t="str">
        <x:v>UNASSESSED | No assumed fee for Apache-licensed core; price ingestion, support, CI, scheduler, engineering and Oracle capacity. Zero core fee is not zero TCO. [L3, D4, T1]</x:v>
      </x:c>
      <x:c r="F90" s="16" t="str">
        <x:v>UNASSESSED | Base subscription plus any Flow Management/Data Services, nodes, storage, DR and cluster staff. Optional AI/GPU scope is separate. [L5, A3, T1]</x:v>
      </x:c>
      <x:c r="G90" s="16" t="str">
        <x:v>UNASSESSED | Core source license is not the service cost. Include cluster, ingestion, orchestration, controls, development, security patching, on-call and exit. [L6, T1]</x:v>
      </x:c>
    </x:row>
    <x:row r="91" ht="85" customHeight="1">
      <x:c r="A91" s="2"/>
      <x:c r="B91" s="17" t="str">
        <x:v>Separate in the quote</x:v>
      </x:c>
      <x:c r="C91" s="16" t="str">
        <x:v>License metric, connectors/CDC, HA/DR and non-production rights; annual increases, professional services and excluded products.</x:v>
      </x:c>
      <x:c r="D91" s="16" t="str">
        <x:v>License metric, products/releases, non-production/DR rights and the exact deployments/capacity covered by existing licenses.</x:v>
      </x:c>
      <x:c r="E91" s="16" t="str">
        <x:v>Paid components, engineer/operator effort, adapter support agreement, upgrades and Oracle resource costs.</x:v>
      </x:c>
      <x:c r="F91" s="16" t="str">
        <x:v>Base and optional services, minimum production/DR footprint, storage growth, hardware refresh and support increases.</x:v>
      </x:c>
      <x:c r="G91" s="16" t="str">
        <x:v>Per-component services, FTE/day estimates, hardware refresh, disk/network growth, on-call and security maintenance.</x:v>
      </x:c>
    </x:row>
    <x:row r="92" ht="85" customHeight="1">
      <x:c r="A92" s="2"/>
      <x:c r="B92" s="17" t="str">
        <x:v>Exit risk (assessment)</x:v>
      </x:c>
      <x:c r="C92" s="16" t="str">
        <x:v>Migrating mappings, workflows and repository metadata, including rewriting in another tool. An export file is not an equivalent runnable pipeline.</x:v>
      </x:c>
      <x:c r="D92" s="16" t="str">
        <x:v>Generated SQL may be reusable; separately estimate migration of KMs, scenarios, topology and Load Plan dependencies.</x:v>
      </x:c>
      <x:c r="E92" s="16" t="str">
        <x:v>SQL and Git files can be moved; Oracle SQL, macros, materializations and ingestion/orchestration dependencies may require rework.</x:v>
      </x:c>
      <x:c r="F92" s="16" t="str">
        <x:v>Assess moving table formats, service APIs, security policies, application code and data copies to another platform.</x:v>
      </x:c>
      <x:c r="G92" s="16" t="str">
        <x:v>Accessible code can still depend on frameworks, libraries, table formats, deployment and operating procedures that create migration costs.</x:v>
      </x:c>
    </x:row>
    <x:row r="93" ht="85" customHeight="1">
      <x:c r="A93" s="2"/>
      <x:c r="B93" s="17" t="str">
        <x:v>Common calculation/test</x:v>
      </x:c>
      <x:c r="C93" s="16" t="str">
        <x:v>Obtain a five-year quote for the same volumes and service levels. Export a representative flow and estimate conversion to another execution path.</x:v>
      </x:c>
      <x:c r="D93" s="16" t="str">
        <x:v>Separate incremental cash costs from consumption of shared Oracle capacity. Measure exit effort for a representative KM/scenario.</x:v>
      </x:c>
      <x:c r="E93" s="16" t="str">
        <x:v>Score the complete cost, including ingestion and all operational components. Trial migration of a model and scheduling chain to another runner.</x:v>
      </x:c>
      <x:c r="F93" s="16" t="str">
        <x:v>Stress capacity and staffing-growth assumptions. Compare additional platform benefits with total cost while holding Exadata as the common target.</x:v>
      </x:c>
      <x:c r="G93" s="16" t="str">
        <x:v>Calculate low/base/high volume and staffing cases. Estimate repackaging and running a representative job in a clean alternative environment.</x:v>
      </x:c>
    </x:row>
    <x:row r="94" ht="33" customHeight="1">
      <x:c r="A94" s="2"/>
      <x:c r="B94" s="19" t="str">
        <x:v>Source IDs</x:v>
      </x:c>
      <x:c r="C94" s="19" t="str">
        <x:v>T1</x:v>
      </x:c>
      <x:c r="D94" s="19" t="str">
        <x:v>T1</x:v>
      </x:c>
      <x:c r="E94" s="19" t="str">
        <x:v>T1</x:v>
      </x:c>
      <x:c r="F94" s="19" t="str">
        <x:v>T1</x:v>
      </x:c>
      <x:c r="G94" s="19" t="str">
        <x:v>T1</x:v>
      </x:c>
    </x:row>
    <x:row r="95" ht="24" customHeight="1">
      <x:c r="A95" s="2"/>
      <x:c r="B95" s="2"/>
      <x:c r="C95" s="2"/>
      <x:c r="D95" s="2"/>
      <x:c r="E95" s="2"/>
      <x:c r="F95" s="2"/>
      <x:c r="G95" s="2"/>
    </x:row>
    <x:row r="96" ht="25" customHeight="1">
      <x:c r="A96" s="2"/>
      <x:c r="B96" s="16"/>
      <x:c r="C96" s="16"/>
      <x:c r="D96" s="16"/>
      <x:c r="E96" s="16"/>
      <x:c r="F96" s="16"/>
      <x:c r="G96" s="16"/>
    </x:row>
    <x:row r="97" ht="29" customHeight="1">
      <x:c r="A97" s="2"/>
      <x:c r="B97" s="22" t="str">
        <x:v>11  Product feature comparison — evidence for scoring</x:v>
      </x:c>
      <x:c r="C97" s="23"/>
      <x:c r="D97" s="23"/>
      <x:c r="E97" s="23"/>
      <x:c r="F97" s="23"/>
      <x:c r="G97" s="23"/>
    </x:row>
    <x:row r="98" ht="25" customHeight="1">
      <x:c r="A98" s="2"/>
      <x:c r="B98" s="23" t="str">
        <x:v>Built-in: product capability, with setup required. Implement: bank-specific SQL/code/design. Add-on: another component or service.</x:v>
      </x:c>
      <x:c r="C98" s="23"/>
      <x:c r="D98" s="23"/>
      <x:c r="E98" s="23"/>
      <x:c r="F98" s="23"/>
      <x:c r="G98" s="23"/>
    </x:row>
    <x:row r="99" ht="25" customHeight="1">
      <x:c r="A99" s="2"/>
      <x:c r="B99" s="23" t="str">
        <x:v>Limited: partial scope. Validate: insufficient evidence for the selected offer. Out of scope: absent from this baseline product.</x:v>
      </x:c>
      <x:c r="C99" s="23"/>
      <x:c r="D99" s="23"/>
      <x:c r="E99" s="23"/>
      <x:c r="F99" s="23"/>
      <x:c r="G99" s="23"/>
    </x:row>
    <x:row r="100" ht="25" customHeight="1">
      <x:c r="A100" s="2"/>
      <x:c r="B100" s="23" t="str">
        <x:v>Licensing labels: Open source, Proprietary or Mixed. None of these labels is a 0–5 rating or a bank acceptance result.</x:v>
      </x:c>
      <x:c r="C100" s="23"/>
      <x:c r="D100" s="23"/>
      <x:c r="E100" s="23"/>
      <x:c r="F100" s="23"/>
      <x:c r="G100" s="23"/>
    </x:row>
    <x:row r="101" ht="25" customHeight="1">
      <x:c r="A101" s="2"/>
      <x:c r="B101" s="23" t="str">
        <x:v>Scope: local PowerCenter, ODI, dbt Core v1 + Oracle, Cloudera Base with Spark, and standalone Apache Spark; optional services are explicit.</x:v>
      </x:c>
      <x:c r="C101" s="23"/>
      <x:c r="D101" s="23"/>
      <x:c r="E101" s="23"/>
      <x:c r="F101" s="23"/>
      <x:c r="G101" s="23"/>
    </x:row>
    <x:row r="102" ht="25" customHeight="1">
      <x:c r="B102" s="23" t="str">
        <x:v>All AI runtimes, assistants, control planes, models, prompts, metadata and logs must remain on premises. Cloud-only features earn no credit.</x:v>
      </x:c>
      <x:c r="C102" s="23"/>
      <x:c r="D102" s="23"/>
      <x:c r="E102" s="23"/>
      <x:c r="F102" s="23"/>
      <x:c r="G102" s="23"/>
    </x:row>
    <x:row r="103" ht="25" customHeight="1">
      <x:c r="B103" s="23" t="str">
        <x:v>Each cell cites source IDs on Sources. Classifications include architectural assessment; confirm release, entitlement and common tests.</x:v>
      </x:c>
      <x:c r="C103" s="23"/>
      <x:c r="D103" s="23"/>
      <x:c r="E103" s="23"/>
      <x:c r="F103" s="23"/>
      <x:c r="G103" s="23"/>
    </x:row>
    <x:row r="104" ht="25" customHeight="1">
      <x:c r="B104" s="23" t="str">
        <x:v>Use these features as evidence for section ratings. Do not add feature counts to the weighted score.</x:v>
      </x:c>
      <x:c r="C104" s="23"/>
      <x:c r="D104" s="23"/>
      <x:c r="E104" s="23"/>
      <x:c r="F104" s="23"/>
      <x:c r="G104" s="23"/>
    </x:row>
    <x:row r="105" ht="25" customHeight="1">
      <x:c r="B105" s="16"/>
      <x:c r="C105" s="16"/>
      <x:c r="D105" s="16"/>
      <x:c r="E105" s="16"/>
      <x:c r="F105" s="16"/>
      <x:c r="G105" s="16"/>
    </x:row>
    <x:row r="106" ht="29" customHeight="1">
      <x:c r="B106" s="25" t="str">
        <x:v>Connectivity and ingestion — score section 03</x:v>
      </x:c>
      <x:c r="C106" s="25"/>
      <x:c r="D106" s="25"/>
      <x:c r="E106" s="25"/>
      <x:c r="F106" s="25"/>
      <x:c r="G106" s="25"/>
    </x:row>
    <x:row r="107" ht="40" customHeight="1">
      <x:c r="B107" s="29" t="str">
        <x:v>Feature</x:v>
      </x:c>
      <x:c r="C107" s="29" t="str">
        <x:v>Informatica
PowerCenter</x:v>
      </x:c>
      <x:c r="D107" s="29" t="str">
        <x:v>Oracle ODI</x:v>
      </x:c>
      <x:c r="E107" s="29" t="str">
        <x:v>dbt Core v1
+ Oracle</x:v>
      </x:c>
      <x:c r="F107" s="29" t="str">
        <x:v>Cloudera Base
with Spark</x:v>
      </x:c>
      <x:c r="G107" s="29" t="str">
        <x:v>Apache Spark
(on premises)</x:v>
      </x:c>
    </x:row>
    <x:row r="108" ht="86" customHeight="1">
      <x:c r="B108" s="30" t="str">
        <x:v>F01  Oracle read / write</x:v>
      </x:c>
      <x:c r="C108" s="16" t="str">
        <x:v>Built-in | Oracle connections and mappings; confirm licensed database connectivity. [I5, I7]</x:v>
      </x:c>
      <x:c r="D108" s="16" t="str">
        <x:v>Built-in | JDBC plus Oracle loading/integration KMs. [O5]</x:v>
      </x:c>
      <x:c r="E108" s="16" t="str">
        <x:v>Limited | Oracle adapter transforms data already in Oracle; ingestion is separate. [D1]</x:v>
      </x:c>
      <x:c r="F108" s="16" t="str">
        <x:v>Built-in | Spark JDBC if Spark is in the selected Base deployment; install Oracle driver. [C1, S1]</x:v>
      </x:c>
      <x:c r="G108" s="16" t="str">
        <x:v>Built-in | JDBC reads/writes; supply driver and cap database connections. [S1]</x:v>
      </x:c>
    </x:row>
    <x:row r="109" ht="86" customHeight="1">
      <x:c r="B109" s="30" t="str">
        <x:v>F02  Other relational sources</x:v>
      </x:c>
      <x:c r="C109" s="16" t="str">
        <x:v>Built-in | Supported database connections; connector rights vary by source. [I5, I7]</x:v>
      </x:c>
      <x:c r="D109" s="16" t="str">
        <x:v>Built-in | Technology-specific or generic SQL KMs; validate driver and version. [O1]</x:v>
      </x:c>
      <x:c r="E109" s="16" t="str">
        <x:v>Add-on | Load into Oracle first; an adapter for another target is not cross-database ingestion. [D1]</x:v>
      </x:c>
      <x:c r="F109" s="16" t="str">
        <x:v>Built-in | Spark JDBC for supported databases; specialized connectors need separate review. [C1, S1]</x:v>
      </x:c>
      <x:c r="G109" s="16" t="str">
        <x:v>Built-in | JDBC data source; source types and drivers require testing. [S1]</x:v>
      </x:c>
    </x:row>
    <x:row r="110" ht="86" customHeight="1">
      <x:c r="B110" s="30" t="str">
        <x:v>F03  File ingestion</x:v>
      </x:c>
      <x:c r="C110" s="16" t="str">
        <x:v>Built-in | Delimited/fixed-width file mappings. Confirm XML/JSON handling separately. [I5]</x:v>
      </x:c>
      <x:c r="D110" s="16" t="str">
        <x:v>Built-in | File technology and loading KMs; define layouts and encodings. [O1]</x:v>
      </x:c>
      <x:c r="E110" s="16" t="str">
        <x:v>Limited | Seeds load small static CSV reference data; bulk/member files need ingestion. [D8]</x:v>
      </x:c>
      <x:c r="F110" s="16" t="str">
        <x:v>Built-in | Spark CSV/JSON/Parquet readers; file arrival and transfer need a service. [S5, C1]</x:v>
      </x:c>
      <x:c r="G110" s="16" t="str">
        <x:v>Built-in | File readers; schemas, transfer and arrival controls are separate. [S5]</x:v>
      </x:c>
    </x:row>
    <x:row r="111" ht="86" customHeight="1">
      <x:c r="B111" s="30" t="str">
        <x:v>F04  REST / API ingestion</x:v>
      </x:c>
      <x:c r="C111" s="16" t="str">
        <x:v>Validate | Identify the exact connector or Command-task integration; no blanket REST entitlement. [I6, I7]</x:v>
      </x:c>
      <x:c r="D111" s="16" t="str">
        <x:v>Implement | Use an appropriate service/driver/procedure; build paging, auth and retry logic. [O1, O4]</x:v>
      </x:c>
      <x:c r="E111" s="16" t="str">
        <x:v>Add-on | External API ingestion service loads Oracle before dbt runs. [D1]</x:v>
      </x:c>
      <x:c r="F111" s="16" t="str">
        <x:v>Add-on | NiFi/Flow Management is a separate service; define processors and API controls. [C3]</x:v>
      </x:c>
      <x:c r="G111" s="16" t="str">
        <x:v>Implement | Application/client library calls; rate limiting and retries are custom. [S4]</x:v>
      </x:c>
    </x:row>
    <x:row r="112" ht="92" customHeight="1">
      <x:c r="B112" s="30" t="str">
        <x:v>F05  Oracle redo-log CDC</x:v>
      </x:c>
      <x:c r="C112" s="16" t="str">
        <x:v>Add-on | PowerExchange/other licensed capture component; prove redo source support. [I8]</x:v>
      </x:c>
      <x:c r="D112" s="16" t="str">
        <x:v>Add-on | GoldenGate is separate. Built-in Oracle Update Date journalizing still uses triggers; not a log-based capture substitute. [O5]</x:v>
      </x:c>
      <x:c r="E112" s="16" t="str">
        <x:v>Add-on | External redo capture; incremental SQL models are not log readers. [D1, D2]</x:v>
      </x:c>
      <x:c r="F112" s="16" t="str">
        <x:v>Add-on | Select a supported Oracle capture connector/service; Spark is not redo capture. [C1, S1]</x:v>
      </x:c>
      <x:c r="G112" s="16" t="str">
        <x:v>Add-on | External CDC producer/connector; JDBC polling is not redo-log capture. [S1, S2]</x:v>
      </x:c>
    </x:row>
    <x:row r="113" ht="25" customHeight="1">
      <x:c r="B113" s="16"/>
      <x:c r="C113" s="16"/>
      <x:c r="D113" s="16"/>
      <x:c r="E113" s="16"/>
      <x:c r="F113" s="16"/>
      <x:c r="G113" s="16"/>
    </x:row>
    <x:row r="114" ht="29" customHeight="1">
      <x:c r="B114" s="25" t="str">
        <x:v>Transformation — score section 04; history under 05</x:v>
      </x:c>
      <x:c r="C114" s="25"/>
      <x:c r="D114" s="25"/>
      <x:c r="E114" s="25"/>
      <x:c r="F114" s="25"/>
      <x:c r="G114" s="25"/>
    </x:row>
    <x:row r="115" ht="40" customHeight="1">
      <x:c r="B115" s="29" t="str">
        <x:v>Feature</x:v>
      </x:c>
      <x:c r="C115" s="29" t="str">
        <x:v>Informatica
PowerCenter</x:v>
      </x:c>
      <x:c r="D115" s="29" t="str">
        <x:v>Oracle ODI</x:v>
      </x:c>
      <x:c r="E115" s="29" t="str">
        <x:v>dbt Core v1
+ Oracle</x:v>
      </x:c>
      <x:c r="F115" s="29" t="str">
        <x:v>Cloudera Base
with Spark</x:v>
      </x:c>
      <x:c r="G115" s="29" t="str">
        <x:v>Apache Spark
(on premises)</x:v>
      </x:c>
    </x:row>
    <x:row r="116" ht="86" customHeight="1">
      <x:c r="B116" s="30" t="str">
        <x:v>F06  Visual mapping designer</x:v>
      </x:c>
      <x:c r="C116" s="16" t="str">
        <x:v>Built-in | PowerCenter Designer mappings and transformations. [I5]</x:v>
      </x:c>
      <x:c r="D116" s="16" t="str">
        <x:v>Built-in | ODI logical/physical mappings and KMs. [O1]</x:v>
      </x:c>
      <x:c r="E116" s="16" t="str">
        <x:v>Out of scope | Core v1 uses SQL/YAML/Jinja; no built-in visual mapping canvas. [D1, D9]</x:v>
      </x:c>
      <x:c r="F116" s="16" t="str">
        <x:v>Add-on | A visual flow tool such as NiFi is separate from Spark coding. [C3]</x:v>
      </x:c>
      <x:c r="G116" s="16" t="str">
        <x:v>Out of scope | Engine APIs/SQL; visual ETL designer requires another tool. [S5]</x:v>
      </x:c>
    </x:row>
    <x:row r="117" ht="86" customHeight="1">
      <x:c r="B117" s="30" t="str">
        <x:v>F07  Exadata SQL execution</x:v>
      </x:c>
      <x:c r="C117" s="16" t="str">
        <x:v>Built-in | Pushdown for supported transformations; validate full mapping and license. [I1, I8]</x:v>
      </x:c>
      <x:c r="D117" s="16" t="str">
        <x:v>Built-in | Oracle KMs generate SQL executed on Oracle; tune staging and SQL. [O5]</x:v>
      </x:c>
      <x:c r="E117" s="16" t="str">
        <x:v>Built-in | Oracle adapter runs compiled model SQL in Oracle. Validate exact Exadata release. [D1]</x:v>
      </x:c>
      <x:c r="F117" s="16" t="str">
        <x:v>Limited | Spark JDBC can push selected query operations; not general Oracle ELT compilation. [S1]</x:v>
      </x:c>
      <x:c r="G117" s="16" t="str">
        <x:v>Limited | JDBC query pushdown has limits; arbitrary Oracle ELT needs SQL integration. [S1]</x:v>
      </x:c>
    </x:row>
    <x:row r="118" ht="86" customHeight="1">
      <x:c r="B118" s="30" t="str">
        <x:v>F08  Distributed processing</x:v>
      </x:c>
      <x:c r="C118" s="16" t="str">
        <x:v>Limited | Partitioning/grid depend on configured topology and license; not Spark execution. [I8, I7]</x:v>
      </x:c>
      <x:c r="D118" s="16" t="str">
        <x:v>Limited | Parallel plans and database parallelism; ODI agent is not a distributed compute engine. [O2, O5]</x:v>
      </x:c>
      <x:c r="E118" s="16" t="str">
        <x:v>Limited | Concurrent models use Oracle resources; Core is not distributed compute. [D1]</x:v>
      </x:c>
      <x:c r="F118" s="16" t="str">
        <x:v>Built-in | Spark distributed execution within the selected cluster deployment. [C1, S5]</x:v>
      </x:c>
      <x:c r="G118" s="16" t="str">
        <x:v>Built-in | Driver/executors distribute processing across the cluster. [S4, S5]</x:v>
      </x:c>
    </x:row>
    <x:row r="119" ht="86" customHeight="1">
      <x:c r="B119" s="30" t="str">
        <x:v>F09  Incremental upserts</x:v>
      </x:c>
      <x:c r="C119" s="16" t="str">
        <x:v>Built-in | Update Strategy and target settings; keys and deletes need explicit design. [I1, I5]</x:v>
      </x:c>
      <x:c r="D119" s="16" t="str">
        <x:v>Built-in | Oracle merge/update KMs; select keys and strategy. [O5]</x:v>
      </x:c>
      <x:c r="E119" s="16" t="str">
        <x:v>Built-in | Incremental materialization; verify supported Oracle strategy and unique keys. [D1, D2]</x:v>
      </x:c>
      <x:c r="F119" s="16" t="str">
        <x:v>Implement | With Spark-to-Oracle, stage and execute a controlled merge; do not assume JDBC upsert. [S1]</x:v>
      </x:c>
      <x:c r="G119" s="16" t="str">
        <x:v>Implement | JDBC writer alone is not Oracle MERGE; stage and merge explicitly. [S1]</x:v>
      </x:c>
    </x:row>
    <x:row r="120" ht="92" customHeight="1">
      <x:c r="B120" s="30" t="str">
        <x:v>F10  SCD type 2 history</x:v>
      </x:c>
      <x:c r="C120" s="16" t="str">
        <x:v>Built-in | Type 2 mapping patterns documented; verify selected release and business-effective correction rules. [I12, I5]</x:v>
      </x:c>
      <x:c r="D120" s="16" t="str">
        <x:v>Built-in | Oracle SCD IKM supports type II dimensions. [O5]</x:v>
      </x:c>
      <x:c r="E120" s="16" t="str">
        <x:v>Validate | dbt snapshots offer SCD2 patterns; prove snapshot and hard-delete behavior with the pinned Oracle adapter on local Exadata. [D6, D1, D4]</x:v>
      </x:c>
      <x:c r="F120" s="16" t="str">
        <x:v>Implement | Build SQL/Spark history logic for the chosen target/table format. [S5]</x:v>
      </x:c>
      <x:c r="G120" s="16" t="str">
        <x:v>Implement | Build history logic; core Spark has no complete dimension-management workflow. [S5]</x:v>
      </x:c>
    </x:row>
    <x:row r="121" ht="25" customHeight="1">
      <x:c r="B121" s="16"/>
      <x:c r="C121" s="16"/>
      <x:c r="D121" s="16"/>
      <x:c r="E121" s="16"/>
      <x:c r="F121" s="16"/>
      <x:c r="G121" s="16"/>
    </x:row>
    <x:row r="122" ht="29" customHeight="1">
      <x:c r="B122" s="25" t="str">
        <x:v>Data correctness — score section 05</x:v>
      </x:c>
      <x:c r="C122" s="25"/>
      <x:c r="D122" s="25"/>
      <x:c r="E122" s="25"/>
      <x:c r="F122" s="25"/>
      <x:c r="G122" s="25"/>
    </x:row>
    <x:row r="123" ht="40" customHeight="1">
      <x:c r="B123" s="29" t="str">
        <x:v>Feature</x:v>
      </x:c>
      <x:c r="C123" s="29" t="str">
        <x:v>Informatica
PowerCenter</x:v>
      </x:c>
      <x:c r="D123" s="29" t="str">
        <x:v>Oracle ODI</x:v>
      </x:c>
      <x:c r="E123" s="29" t="str">
        <x:v>dbt Core v1
+ Oracle</x:v>
      </x:c>
      <x:c r="F123" s="29" t="str">
        <x:v>Cloudera Base
with Spark</x:v>
      </x:c>
      <x:c r="G123" s="29" t="str">
        <x:v>Apache Spark
(on premises)</x:v>
      </x:c>
    </x:row>
    <x:row r="124" ht="86" customHeight="1">
      <x:c r="B124" s="30" t="str">
        <x:v>F11  Data quality rules</x:v>
      </x:c>
      <x:c r="C124" s="16" t="str">
        <x:v>Implement | Mapping checks are possible; an enterprise quality suite is separately scoped. [I5]</x:v>
      </x:c>
      <x:c r="D124" s="16" t="str">
        <x:v>Built-in | CKMs check configured constraints; business controls need additional rules. [O5]</x:v>
      </x:c>
      <x:c r="E124" s="16" t="str">
        <x:v>Built-in | Generic and SQL data tests; configure bank-specific assertions. [D3]</x:v>
      </x:c>
      <x:c r="F124" s="16" t="str">
        <x:v>Implement | SQL/Spark checks or a separate quality framework; no blanket suite assumed. [S5]</x:v>
      </x:c>
      <x:c r="G124" s="16" t="str">
        <x:v>Implement | Assertions/SQL checks or a separate framework in the application. [S5]</x:v>
      </x:c>
    </x:row>
    <x:row r="125" ht="92" customHeight="1">
      <x:c r="B125" s="30" t="str">
        <x:v>F12  Reject quarantine</x:v>
      </x:c>
      <x:c r="C125" s="16" t="str">
        <x:v>Implement | Explicitly retain/reconcile rejects. Full pushdown Update Strategy ignores rejected rows and does not write a reject file. [I1, I5]</x:v>
      </x:c>
      <x:c r="D125" s="16" t="str">
        <x:v>Built-in | CKM flow control can isolate errors; configure retention and reprocessing. [O5]</x:v>
      </x:c>
      <x:c r="E125" s="16" t="str">
        <x:v>Limited | Tests can persist failures; automatic quarantine/reprocessing is additional design. [D3]</x:v>
      </x:c>
      <x:c r="F125" s="16" t="str">
        <x:v>Implement | Build reject tables/streams and reprocessing workflow. [S5]</x:v>
      </x:c>
      <x:c r="G125" s="16" t="str">
        <x:v>Implement | Branch invalid data to a quarantine sink and implement replay. [S5]</x:v>
      </x:c>
    </x:row>
    <x:row r="126" ht="86" customHeight="1">
      <x:c r="B126" s="30" t="str">
        <x:v>F13  Financial reconciliation</x:v>
      </x:c>
      <x:c r="C126" s="16" t="str">
        <x:v>Implement | Create control totals, amount checks and sign-off evidence. [I5, B1]</x:v>
      </x:c>
      <x:c r="D126" s="16" t="str">
        <x:v>Implement | SQL/KM controls compare source, stage and published totals. [O5, B1]</x:v>
      </x:c>
      <x:c r="E126" s="16" t="str">
        <x:v>Implement | SQL tests and control models; business approval is separate. [D3, B1]</x:v>
      </x:c>
      <x:c r="F126" s="16" t="str">
        <x:v>Implement | Control datasets and checks across ingestion, cluster and Oracle. [S5, B1]</x:v>
      </x:c>
      <x:c r="G126" s="16" t="str">
        <x:v>Implement | Application/control tables reconcile counts and amounts end to end. [S5, B1]</x:v>
      </x:c>
    </x:row>
    <x:row r="127" ht="86" customHeight="1">
      <x:c r="B127" s="30" t="str">
        <x:v>F14  Schema changes</x:v>
      </x:c>
      <x:c r="C127" s="16" t="str">
        <x:v>Limited | Update source/target definitions and mappings; test compatible changes. [I5]</x:v>
      </x:c>
      <x:c r="D127" s="16" t="str">
        <x:v>Limited | Reverse engineer metadata and review mappings/KMs before release. [O1]</x:v>
      </x:c>
      <x:c r="E127" s="16" t="str">
        <x:v>Limited | Incremental schema options vary; they do not migrate historical data automatically. [D2]</x:v>
      </x:c>
      <x:c r="F127" s="16" t="str">
        <x:v>Limited | Reader/table-format behavior varies; Oracle schema changes still need a contract. [S1, S5]</x:v>
      </x:c>
      <x:c r="G127" s="16" t="str">
        <x:v>Limited | Schema inference/evolution depends on format; breaking changes require code and tests. [S5]</x:v>
      </x:c>
    </x:row>
    <x:row r="128" ht="86" customHeight="1">
      <x:c r="B128" s="30" t="str">
        <x:v>F15  Backfill / late corrections</x:v>
      </x:c>
      <x:c r="C128" s="16" t="str">
        <x:v>Implement | Parameterize date windows and design idempotent reload/republication. [I5, I6]</x:v>
      </x:c>
      <x:c r="D128" s="16" t="str">
        <x:v>Implement | Variables, SQL and plans implement controlled date-window replay. [O2, O5]</x:v>
      </x:c>
      <x:c r="E128" s="16" t="str">
        <x:v>Implement | Model filters/full refresh and explicit correction rules; test history effects. [D2, D6]</x:v>
      </x:c>
      <x:c r="F128" s="16" t="str">
        <x:v>Implement | Reprocess a bounded window and reconcile the Oracle publication. [S1, S5]</x:v>
      </x:c>
      <x:c r="G128" s="16" t="str">
        <x:v>Implement | Application parameters and idempotent target writes; business dates are explicit. [S1, S5]</x:v>
      </x:c>
    </x:row>
    <x:row r="129" ht="25" customHeight="1">
      <x:c r="B129" s="16"/>
      <x:c r="C129" s="16"/>
      <x:c r="D129" s="16"/>
      <x:c r="E129" s="16"/>
      <x:c r="F129" s="16"/>
      <x:c r="G129" s="16"/>
    </x:row>
    <x:row r="130" ht="29" customHeight="1">
      <x:c r="B130" s="25" t="str">
        <x:v>Orchestration and reporting — score section 06</x:v>
      </x:c>
      <x:c r="C130" s="25"/>
      <x:c r="D130" s="25"/>
      <x:c r="E130" s="25"/>
      <x:c r="F130" s="25"/>
      <x:c r="G130" s="25"/>
    </x:row>
    <x:row r="131" ht="40" customHeight="1">
      <x:c r="B131" s="29" t="str">
        <x:v>Feature</x:v>
      </x:c>
      <x:c r="C131" s="29" t="str">
        <x:v>Informatica
PowerCenter</x:v>
      </x:c>
      <x:c r="D131" s="29" t="str">
        <x:v>Oracle ODI</x:v>
      </x:c>
      <x:c r="E131" s="29" t="str">
        <x:v>dbt Core v1
+ Oracle</x:v>
      </x:c>
      <x:c r="F131" s="29" t="str">
        <x:v>Cloudera Base
with Spark</x:v>
      </x:c>
      <x:c r="G131" s="29" t="str">
        <x:v>Apache Spark
(on premises)</x:v>
      </x:c>
    </x:row>
    <x:row r="132" ht="86" customHeight="1">
      <x:c r="B132" s="30" t="str">
        <x:v>F16  Dependency workflows</x:v>
      </x:c>
      <x:c r="C132" s="16" t="str">
        <x:v>Built-in | Workflows/worklets coordinate session and other tasks. [I6]</x:v>
      </x:c>
      <x:c r="D132" s="16" t="str">
        <x:v>Built-in | Load Plans support sequential, parallel and conditional execution. [O2]</x:v>
      </x:c>
      <x:c r="E132" s="16" t="str">
        <x:v>Limited | Model DAG orders dbt resources; enterprise/source dependencies need an orchestrator. [D9]</x:v>
      </x:c>
      <x:c r="F132" s="16" t="str">
        <x:v>Add-on | Select the local orchestration service; Spark stage scheduling is not a batch scheduler. [C1, S4]</x:v>
      </x:c>
      <x:c r="G132" s="16" t="str">
        <x:v>Add-on | External workflow orchestrator coordinates jobs and upstream sources. [S4]</x:v>
      </x:c>
    </x:row>
    <x:row r="133" ht="86" customHeight="1">
      <x:c r="B133" s="30" t="str">
        <x:v>F17  Calendar / event triggers</x:v>
      </x:c>
      <x:c r="C133" s="16" t="str">
        <x:v>Limited | Workflow scheduling and event tasks; bank holidays and source-ready signals need design. [I6]</x:v>
      </x:c>
      <x:c r="D133" s="16" t="str">
        <x:v>Limited | Agent scheduling; bank calendar and source-ready integration need design. [O4]</x:v>
      </x:c>
      <x:c r="E133" s="16" t="str">
        <x:v>Add-on | Local scheduler invokes CLI; Core has no always-on calendar service. [D9]</x:v>
      </x:c>
      <x:c r="F133" s="16" t="str">
        <x:v>Add-on | Configure selected orchestration/flow services and business calendars. [C1, C3]</x:v>
      </x:c>
      <x:c r="G133" s="16" t="str">
        <x:v>Add-on | Local scheduler/event service starts applications. [S4]</x:v>
      </x:c>
    </x:row>
    <x:row r="134" ht="86" customHeight="1">
      <x:c r="B134" s="30" t="str">
        <x:v>F18  Restart / checkpoint</x:v>
      </x:c>
      <x:c r="C134" s="16" t="str">
        <x:v>Built-in | Recovery strategies vary; full pushdown has different recovery behavior. [I2, I8]</x:v>
      </x:c>
      <x:c r="D134" s="16" t="str">
        <x:v>Built-in | Restartable plans; confirm transaction and restart boundaries. [O2, O4]</x:v>
      </x:c>
      <x:c r="E134" s="16" t="str">
        <x:v>Implement | Rerun selected models with idempotent SQL; not row-level transaction recovery. [D2, D9]</x:v>
      </x:c>
      <x:c r="F134" s="16" t="str">
        <x:v>Limited | Spark task/stream recovery; job restart and Oracle publication need design. [S2, S4]</x:v>
      </x:c>
      <x:c r="G134" s="16" t="str">
        <x:v>Limited | Task retry/stream checkpoints do not guarantee exactly-once Oracle output. [S2]</x:v>
      </x:c>
    </x:row>
    <x:row r="135" ht="86" customHeight="1">
      <x:c r="B135" s="30" t="str">
        <x:v>F19  Stream processing</x:v>
      </x:c>
      <x:c r="C135" s="16" t="str">
        <x:v>Limited | Real-time sessions for supported sources; not a general stream-processing platform. [I8]</x:v>
      </x:c>
      <x:c r="D135" s="16" t="str">
        <x:v>Limited | CDC/micro-batch integration; specialized stream processing needs another engine. [O5]</x:v>
      </x:c>
      <x:c r="E135" s="16" t="str">
        <x:v>Out of scope | Core SQL transformation runs are not a continuously running stream engine. [D9]</x:v>
      </x:c>
      <x:c r="F135" s="16" t="str">
        <x:v>Built-in | Spark Structured Streaming when included; source and sink support must be pinned. [S2, C1]</x:v>
      </x:c>
      <x:c r="G135" s="16" t="str">
        <x:v>Built-in | Structured Streaming; source/sink semantics and latency depend on implementation. [S2]</x:v>
      </x:c>
    </x:row>
    <x:row r="136" ht="86" customHeight="1">
      <x:c r="B136" s="30" t="str">
        <x:v>F20  Atomic report publication</x:v>
      </x:c>
      <x:c r="C136" s="16" t="str">
        <x:v>Implement | Publication gate, control table and consumer-visible version must be designed. [B1]</x:v>
      </x:c>
      <x:c r="D136" s="16" t="str">
        <x:v>Implement | Design Oracle transaction/swap and report-ready signals. [O4, B1]</x:v>
      </x:c>
      <x:c r="E136" s="16" t="str">
        <x:v>Implement | Successful models alone do not publish a complete report set atomically. [D9, B1]</x:v>
      </x:c>
      <x:c r="F136" s="16" t="str">
        <x:v>Implement | Coordinate cluster results and Oracle/report publication explicitly. [S1, B1]</x:v>
      </x:c>
      <x:c r="G136" s="16" t="str">
        <x:v>Implement | Stage, reconcile and publish; no automatic multi-job reporting transaction. [S1, B1]</x:v>
      </x:c>
    </x:row>
    <x:row r="137" ht="25" customHeight="1">
      <x:c r="B137" s="16"/>
      <x:c r="C137" s="16"/>
      <x:c r="D137" s="16"/>
      <x:c r="E137" s="16"/>
      <x:c r="F137" s="16"/>
      <x:c r="G137" s="16"/>
    </x:row>
    <x:row r="138" ht="29" customHeight="1">
      <x:c r="B138" s="25" t="str">
        <x:v>Security and metadata — score section 07</x:v>
      </x:c>
      <x:c r="C138" s="25"/>
      <x:c r="D138" s="25"/>
      <x:c r="E138" s="25"/>
      <x:c r="F138" s="25"/>
      <x:c r="G138" s="25"/>
    </x:row>
    <x:row r="139" ht="40" customHeight="1">
      <x:c r="B139" s="29" t="str">
        <x:v>Feature</x:v>
      </x:c>
      <x:c r="C139" s="29" t="str">
        <x:v>Informatica
PowerCenter</x:v>
      </x:c>
      <x:c r="D139" s="29" t="str">
        <x:v>Oracle ODI</x:v>
      </x:c>
      <x:c r="E139" s="29" t="str">
        <x:v>dbt Core v1
+ Oracle</x:v>
      </x:c>
      <x:c r="F139" s="29" t="str">
        <x:v>Cloudera Base
with Spark</x:v>
      </x:c>
      <x:c r="G139" s="29" t="str">
        <x:v>Apache Spark
(on premises)</x:v>
      </x:c>
    </x:row>
    <x:row r="140" ht="86" customHeight="1">
      <x:c r="B140" s="30" t="str">
        <x:v>F21  Role-based access</x:v>
      </x:c>
      <x:c r="C140" s="16" t="str">
        <x:v>Built-in | Repository/service permissions; integrate bank identity and separation of duties. [I9]</x:v>
      </x:c>
      <x:c r="D140" s="16" t="str">
        <x:v>Built-in | Security repository privileges; Oracle target permissions remain separate. [O1]</x:v>
      </x:c>
      <x:c r="E140" s="16" t="str">
        <x:v>Add-on | Enforce roles through OS, Git/CI and Oracle; Core is not a multi-user IAM service. [D1]</x:v>
      </x:c>
      <x:c r="F140" s="16" t="str">
        <x:v>Built-in | Ranger/related services if included; coverage depends on service integration. [C4]</x:v>
      </x:c>
      <x:c r="G140" s="16" t="str">
        <x:v>Limited | Engine/UI security settings; enterprise roles need cluster/storage/IAM controls. [S3]</x:v>
      </x:c>
    </x:row>
    <x:row r="141" ht="86" customHeight="1">
      <x:c r="B141" s="30" t="str">
        <x:v>F22  Secret management</x:v>
      </x:c>
      <x:c r="C141" s="16" t="str">
        <x:v>Validate | Confirm vault integration, rotation and log redaction for the selected release. [I9]</x:v>
      </x:c>
      <x:c r="D141" s="16" t="str">
        <x:v>Implement | Configure credential handling plus vault/rotation integration. [O1]</x:v>
      </x:c>
      <x:c r="E141" s="16" t="str">
        <x:v>Add-on | Local secrets injection plus protected profiles; validate logs/artifacts. [D1]</x:v>
      </x:c>
      <x:c r="F141" s="16" t="str">
        <x:v>Validate | Specify vault/credential provider per service and prove rotation. [C4]</x:v>
      </x:c>
      <x:c r="G141" s="16" t="str">
        <x:v>Add-on | Use cluster/local secret facilities; protect driver/executor access and logs. [S3]</x:v>
      </x:c>
    </x:row>
    <x:row r="142" ht="86" customHeight="1">
      <x:c r="B142" s="30" t="str">
        <x:v>F23  Runtime audit / logs</x:v>
      </x:c>
      <x:c r="C142" s="16" t="str">
        <x:v>Built-in | Session/workflow records; central retention and masking are separate. [I6]</x:v>
      </x:c>
      <x:c r="D142" s="16" t="str">
        <x:v>Built-in | Operator execution logs; configure purge, retention and access. [O4]</x:v>
      </x:c>
      <x:c r="E142" s="16" t="str">
        <x:v>Built-in | Local logs/run artifacts; add protected retention and audit collection. [D9]</x:v>
      </x:c>
      <x:c r="F142" s="16" t="str">
        <x:v>Built-in | Manager/service logs and Ranger audit where configured. [C4, C5]</x:v>
      </x:c>
      <x:c r="G142" s="16" t="str">
        <x:v>Limited | Event logs/UI metrics; immutable enterprise audit collection is separate. [S6, S3]</x:v>
      </x:c>
    </x:row>
    <x:row r="143" ht="86" customHeight="1">
      <x:c r="B143" s="30" t="str">
        <x:v>F24  Technical dependencies</x:v>
      </x:c>
      <x:c r="C143" s="16" t="str">
        <x:v>Built-in | Repository mapping dependencies; full field coverage must be demonstrated. [I5]</x:v>
      </x:c>
      <x:c r="D143" s="16" t="str">
        <x:v>Built-in | Mapping/repository metadata; generated/custom SQL needs coverage checks. [O1]</x:v>
      </x:c>
      <x:c r="E143" s="16" t="str">
        <x:v>Built-in | Model dependency graph/artifacts; not automatically complete column lineage. [D9]</x:v>
      </x:c>
      <x:c r="F143" s="16" t="str">
        <x:v>Built-in | Atlas for integrated services; confirm Spark and connector coverage. [C4, C5]</x:v>
      </x:c>
      <x:c r="G143" s="16" t="str">
        <x:v>Add-on | Lineage listener/catalog integration; core event logs are not a data catalog. [S6]</x:v>
      </x:c>
    </x:row>
    <x:row r="144" ht="86" customHeight="1">
      <x:c r="B144" s="30" t="str">
        <x:v>F25  Source-to-report lineage</x:v>
      </x:c>
      <x:c r="C144" s="16" t="str">
        <x:v>Add-on | Catalog/scanners for external sources and MicroStrategy; test custom SQL. [I5, B1]</x:v>
      </x:c>
      <x:c r="D144" s="16" t="str">
        <x:v>Add-on | Enterprise catalog integration beyond ODI repository boundaries. [O1, B1]</x:v>
      </x:c>
      <x:c r="E144" s="16" t="str">
        <x:v>Add-on | Catalog/report integration beyond the dbt project graph. [D9, B1]</x:v>
      </x:c>
      <x:c r="F144" s="16" t="str">
        <x:v>Add-on | External connectors for Oracle/report boundaries; Atlas alone is insufficient evidence. [C4, B1]</x:v>
      </x:c>
      <x:c r="G144" s="16" t="str">
        <x:v>Add-on | Select catalog, instrumentation and report scanners. [S6, B1]</x:v>
      </x:c>
    </x:row>
    <x:row r="145" ht="25" customHeight="1">
      <x:c r="B145" s="16"/>
      <x:c r="C145" s="16"/>
      <x:c r="D145" s="16"/>
      <x:c r="E145" s="16"/>
      <x:c r="F145" s="16"/>
      <x:c r="G145" s="16"/>
    </x:row>
    <x:row r="146" ht="29" customHeight="1">
      <x:c r="B146" s="25" t="str">
        <x:v>Development and operations — score sections 08 and 09</x:v>
      </x:c>
      <x:c r="C146" s="25"/>
      <x:c r="D146" s="25"/>
      <x:c r="E146" s="25"/>
      <x:c r="F146" s="25"/>
      <x:c r="G146" s="25"/>
    </x:row>
    <x:row r="147" ht="40" customHeight="1">
      <x:c r="B147" s="29" t="str">
        <x:v>Feature</x:v>
      </x:c>
      <x:c r="C147" s="29" t="str">
        <x:v>Informatica
PowerCenter</x:v>
      </x:c>
      <x:c r="D147" s="29" t="str">
        <x:v>Oracle ODI</x:v>
      </x:c>
      <x:c r="E147" s="29" t="str">
        <x:v>dbt Core v1
+ Oracle</x:v>
      </x:c>
      <x:c r="F147" s="29" t="str">
        <x:v>Cloudera Base
with Spark</x:v>
      </x:c>
      <x:c r="G147" s="29" t="str">
        <x:v>Apache Spark
(on premises)</x:v>
      </x:c>
    </x:row>
    <x:row r="148" ht="86" customHeight="1">
      <x:c r="B148" s="30" t="str">
        <x:v>F26  Git / code review</x:v>
      </x:c>
      <x:c r="C148" s="16" t="str">
        <x:v>Limited | Licensed repository versioning; Git storage of exports is not native semantic merge support. [I13, I4]</x:v>
      </x:c>
      <x:c r="D148" s="16" t="str">
        <x:v>Built-in | External VCS integration; test object comparison and conflict handling. [O3]</x:v>
      </x:c>
      <x:c r="E148" s="16" t="str">
        <x:v>Built-in | Text SQL/YAML projects fit Git; host repository/review service locally. [D9]</x:v>
      </x:c>
      <x:c r="F148" s="16" t="str">
        <x:v>Limited | Spark code fits Git; notebooks/flow definitions need tool-specific integration. [C3, S4]</x:v>
      </x:c>
      <x:c r="G148" s="16" t="str">
        <x:v>Built-in | Application source fits Git; repository/review service is separate. [S4]</x:v>
      </x:c>
    </x:row>
    <x:row r="149" ht="86" customHeight="1">
      <x:c r="B149" s="30" t="str">
        <x:v>F27  Environment promotion</x:v>
      </x:c>
      <x:c r="C149" s="16" t="str">
        <x:v>Built-in | Repository object deployment/export; automation and rollback need design. [I4]</x:v>
      </x:c>
      <x:c r="D149" s="16" t="str">
        <x:v>Built-in | Scenarios and contexts support deployment across repositories/environments. [O3, O4]</x:v>
      </x:c>
      <x:c r="E149" s="16" t="str">
        <x:v>Implement | Local CI, pinned packages and environment-specific profiles/targets. [D1, D9]</x:v>
      </x:c>
      <x:c r="F149" s="16" t="str">
        <x:v>Implement | Deploy applications plus versioned service configuration through local CI. [C1, S4]</x:v>
      </x:c>
      <x:c r="G149" s="16" t="str">
        <x:v>Implement | Package, submit and roll back applications through local CI. [S4]</x:v>
      </x:c>
    </x:row>
    <x:row r="150" ht="86" customHeight="1">
      <x:c r="B150" s="30" t="str">
        <x:v>F28  CLI automation</x:v>
      </x:c>
      <x:c r="C150" s="16" t="str">
        <x:v>Built-in | Command-line workflow/repository operations; constrain service accounts. [I6]</x:v>
      </x:c>
      <x:c r="D150" s="16" t="str">
        <x:v>Built-in | Command-line scenario/plan execution and automation. [O4]</x:v>
      </x:c>
      <x:c r="E150" s="16" t="str">
        <x:v>Built-in | CLI run/build/test commands; local scheduling is separate. [D9]</x:v>
      </x:c>
      <x:c r="F150" s="16" t="str">
        <x:v>Built-in | Spark submission and service tools; specify deployed interfaces. [S4, C1]</x:v>
      </x:c>
      <x:c r="G150" s="16" t="str">
        <x:v>Built-in | spark-submit and application APIs. [S4]</x:v>
      </x:c>
    </x:row>
    <x:row r="151" ht="92" customHeight="1">
      <x:c r="B151" s="30" t="str">
        <x:v>F29  Monitoring / alerts</x:v>
      </x:c>
      <x:c r="C151" s="16" t="str">
        <x:v>Built-in | Workflow Monitor and task notifications; integrate bank alert routing. [I6]</x:v>
      </x:c>
      <x:c r="D151" s="16" t="str">
        <x:v>Limited | Operator/agent monitoring; service-level alerts and routing need integration. [O4]</x:v>
      </x:c>
      <x:c r="E151" s="16" t="str">
        <x:v>Add-on | External monitor interprets exit status, logs and artifacts. [D9]</x:v>
      </x:c>
      <x:c r="F151" s="16" t="str">
        <x:v>Built-in | Cloudera Manager health tests/events/alerts; business-date readiness and report SLA checks still need design. [C7]</x:v>
      </x:c>
      <x:c r="G151" s="16" t="str">
        <x:v>Limited | UI/history server/metrics; on-call alerting and SLA checks need a service. [S6]</x:v>
      </x:c>
    </x:row>
    <x:row r="152" ht="86" customHeight="1">
      <x:c r="B152" s="30" t="str">
        <x:v>F30  HA / disaster recovery</x:v>
      </x:c>
      <x:c r="C152" s="16" t="str">
        <x:v>Validate | Confirm licensed HA, repository/state backup and a tested DR topology. [I2, I7]</x:v>
      </x:c>
      <x:c r="D152" s="16" t="str">
        <x:v>Validate | Choose agent topology and repository/Oracle HA; prove complete recovery. [O4]</x:v>
      </x:c>
      <x:c r="E152" s="16" t="str">
        <x:v>Add-on | Runner, scheduler, Git, packages and Oracle require a designed HA/DR service. [D1, D9]</x:v>
      </x:c>
      <x:c r="F152" s="16" t="str">
        <x:v>Validate | HA varies by selected service; test cluster, metadata and Oracle DR together. [C6]</x:v>
      </x:c>
      <x:c r="G152" s="16" t="str">
        <x:v>Add-on | Cluster manager, storage and orchestration provide resilience; design full-service DR. [S4]</x:v>
      </x:c>
    </x:row>
    <x:row r="153" ht="25" customHeight="1">
      <x:c r="B153" s="16"/>
      <x:c r="C153" s="16"/>
      <x:c r="D153" s="16"/>
      <x:c r="E153" s="16"/>
      <x:c r="F153" s="16"/>
      <x:c r="G153" s="16"/>
    </x:row>
    <x:row r="154" ht="29" customHeight="1">
      <x:c r="B154" s="25" t="str">
        <x:v>AI integration — score section 12 (8%)</x:v>
      </x:c>
      <x:c r="C154" s="25"/>
      <x:c r="D154" s="25"/>
      <x:c r="E154" s="25"/>
      <x:c r="F154" s="25"/>
      <x:c r="G154" s="25"/>
    </x:row>
    <x:row r="155" ht="40" customHeight="1">
      <x:c r="B155" s="29" t="str">
        <x:v>Feature</x:v>
      </x:c>
      <x:c r="C155" s="29" t="str">
        <x:v>Informatica
PowerCenter</x:v>
      </x:c>
      <x:c r="D155" s="29" t="str">
        <x:v>Oracle ODI</x:v>
      </x:c>
      <x:c r="E155" s="29" t="str">
        <x:v>dbt Core v1
+ Oracle</x:v>
      </x:c>
      <x:c r="F155" s="29" t="str">
        <x:v>Cloudera Base
with Spark</x:v>
      </x:c>
      <x:c r="G155" s="29" t="str">
        <x:v>Apache Spark
(on premises)</x:v>
      </x:c>
    </x:row>
    <x:row r="156" ht="86" customHeight="1">
      <x:c r="B156" s="30" t="str">
        <x:v>F31  Local AI-assisted development</x:v>
      </x:c>
      <x:c r="C156" s="16" t="str">
        <x:v>Validate | No verified native local PowerCenter assistant. CLAIRE GPT is in IDMC service scope; no on-prem copilot credit. [A6]</x:v>
      </x:c>
      <x:c r="D156" s="16" t="str">
        <x:v>Implement | Local assistant can work with SQL/KM exports; no verified native ODI assistant in scope. [O1, O3]</x:v>
      </x:c>
      <x:c r="E156" s="16" t="str">
        <x:v>Add-on | Self-hosted dbt MCP exposes local CLI to an assistant. Host the model locally; disable cloud tools. [A2]</x:v>
      </x:c>
      <x:c r="F156" s="16" t="str">
        <x:v>Validate | Local assistant/editor integration is separate; AI inference service is not a mapping copilot. [A3]</x:v>
      </x:c>
      <x:c r="G156" s="16" t="str">
        <x:v>Add-on | Local coding assistant can edit Python/Scala/SQL; not a Spark engine feature. [S4]</x:v>
      </x:c>
    </x:row>
    <x:row r="157" ht="86" customHeight="1">
      <x:c r="B157" s="30" t="str">
        <x:v>F32  Call a local model endpoint</x:v>
      </x:c>
      <x:c r="C157" s="16" t="str">
        <x:v>Implement | Command task runs a local script calling an internal model; engineer authentication, bounded retries and batching. [I11]</x:v>
      </x:c>
      <x:c r="D157" s="16" t="str">
        <x:v>Implement | Procedure/external service invokes internal inference; implement timeout and retry controls. [O4]</x:v>
      </x:c>
      <x:c r="E157" s="16" t="str">
        <x:v>Add-on | Companion service invokes model and stages results in Oracle; dbt transforms them. [D1]</x:v>
      </x:c>
      <x:c r="F157" s="16" t="str">
        <x:v>Add-on | Cloudera AI Inference is a separate on-prem service with GPU/platform prerequisites. [A3]</x:v>
      </x:c>
      <x:c r="G157" s="16" t="str">
        <x:v>Implement | Python/Scala client calls local inference; limit concurrency and make writes idempotent. [S4]</x:v>
      </x:c>
    </x:row>
    <x:row r="158" ht="86" customHeight="1">
      <x:c r="B158" s="30" t="str">
        <x:v>F33  ML feature engineering / scoring</x:v>
      </x:c>
      <x:c r="C158" s="16" t="str">
        <x:v>Implement | Mapping/SQL features; model training/scoring requires an external service or database feature. [I5]</x:v>
      </x:c>
      <x:c r="D158" s="16" t="str">
        <x:v>Implement | SQL/KMs prepare features; model execution is a separately selected database/service capability. [O5]</x:v>
      </x:c>
      <x:c r="E158" s="16" t="str">
        <x:v>Limited | SQL feature models; Oracle-adapter Python documentation does not establish on-prem Exadata support. [D1]</x:v>
      </x:c>
      <x:c r="F158" s="16" t="str">
        <x:v>Built-in | Spark MLlib where Spark is included; managed model serving/AI workbench is additional. [A4, C1, A3]</x:v>
      </x:c>
      <x:c r="G158" s="16" t="str">
        <x:v>Built-in | MLlib supports distributed ML pipelines; LLM hosting is a separate service. [A4]</x:v>
      </x:c>
    </x:row>
    <x:row r="159" ht="86" customHeight="1">
      <x:c r="B159" s="30" t="str">
        <x:v>F34  AI audit and repeatability</x:v>
      </x:c>
      <x:c r="C159" s="16" t="str">
        <x:v>Implement | Record model/prompt version, inputs, result and approval in controlled tables. [A5]</x:v>
      </x:c>
      <x:c r="D159" s="16" t="str">
        <x:v>Implement | Persist model/run identifiers and approved outputs; bound external actions. [A5]</x:v>
      </x:c>
      <x:c r="E159" s="16" t="str">
        <x:v>Implement | Version models/prompts and retain local MCP/action logs; restrict commands and data access. [A2, A5]</x:v>
      </x:c>
      <x:c r="F159" s="16" t="str">
        <x:v>Implement | Combine platform/service records with model version and bank publication controls. [A3, A5]</x:v>
      </x:c>
      <x:c r="G159" s="16" t="str">
        <x:v>Implement | Capture inference metadata and approved outputs; checkpoints alone do not reproduce model responses. [A5]</x:v>
      </x:c>
    </x:row>
    <x:row r="160" ht="25" customHeight="1">
      <x:c r="B160" s="16"/>
      <x:c r="C160" s="16"/>
      <x:c r="D160" s="16"/>
      <x:c r="E160" s="16"/>
      <x:c r="F160" s="16"/>
      <x:c r="G160" s="16"/>
    </x:row>
    <x:row r="161" ht="29" customHeight="1">
      <x:c r="B161" s="25" t="str">
        <x:v>Open source and extensibility — score section 13 (7%)</x:v>
      </x:c>
      <x:c r="C161" s="25"/>
      <x:c r="D161" s="25"/>
      <x:c r="E161" s="25"/>
      <x:c r="F161" s="25"/>
      <x:c r="G161" s="25"/>
    </x:row>
    <x:row r="162" ht="40" customHeight="1">
      <x:c r="B162" s="29" t="str">
        <x:v>Feature</x:v>
      </x:c>
      <x:c r="C162" s="29" t="str">
        <x:v>Informatica
PowerCenter</x:v>
      </x:c>
      <x:c r="D162" s="29" t="str">
        <x:v>Oracle ODI</x:v>
      </x:c>
      <x:c r="E162" s="29" t="str">
        <x:v>dbt Core v1
+ Oracle</x:v>
      </x:c>
      <x:c r="F162" s="29" t="str">
        <x:v>Cloudera Base
with Spark</x:v>
      </x:c>
      <x:c r="G162" s="29" t="str">
        <x:v>Apache Spark
(on premises)</x:v>
      </x:c>
    </x:row>
    <x:row r="163" ht="86" customHeight="1">
      <x:c r="B163" s="30" t="str">
        <x:v>F35  Core license / source access</x:v>
      </x:c>
      <x:c r="C163" s="16" t="str">
        <x:v>Proprietary | PowerCenter requires vendor licensing; no open-source engine assumed. [L1]</x:v>
      </x:c>
      <x:c r="D163" s="16" t="str">
        <x:v>Proprietary | ODI is licensed Oracle software; editable KMs do not make the engine open source. [L2, O1]</x:v>
      </x:c>
      <x:c r="E163" s="16" t="str">
        <x:v>Open source | Core v1 and Oracle adapter use Apache 2.0. Pin versions; Oracle/Exadata is proprietary. [L3, D4]</x:v>
      </x:c>
      <x:c r="F163" s="16" t="str">
        <x:v>Mixed | Open-source components in a commercial distribution. Confirm component licenses and subscription access. [L4, L5]</x:v>
      </x:c>
      <x:c r="G163" s="16" t="str">
        <x:v>Open source | Apache Spark uses Apache 2.0; review bundled dependencies and connector licenses. [L6]</x:v>
      </x:c>
    </x:row>
    <x:row r="164" ht="86" customHeight="1">
      <x:c r="B164" s="30" t="str">
        <x:v>F36  Extend / replace components</x:v>
      </x:c>
      <x:c r="C164" s="16" t="str">
        <x:v>Limited | Custom mappings/commands; proprietary engine fixes depend on vendor. [I5, I6, L1]</x:v>
      </x:c>
      <x:c r="D164" s="16" t="str">
        <x:v>Limited | KMs are editable; agent/repository engine remains proprietary. [O1, L2]</x:v>
      </x:c>
      <x:c r="E164" s="16" t="str">
        <x:v>Built-in | Inspect/fork Core and adapter under their licenses; self-maintenance and Oracle dependency remain. [L3, D4]</x:v>
      </x:c>
      <x:c r="F164" s="16" t="str">
        <x:v>Validate | Separate upstream code rights from rights/access for the offered distribution and services. [L4, L5]</x:v>
      </x:c>
      <x:c r="G164" s="16" t="str">
        <x:v>Built-in | Inspect/modify engine and application code under applicable licenses; own build/support effort. [L6]</x:v>
      </x:c>
    </x:row>
    <x:row r="165" ht="25" customHeight="1">
      <x:c r="B165" s="16"/>
      <x:c r="C165" s="16"/>
      <x:c r="D165" s="16"/>
      <x:c r="E165" s="16"/>
      <x:c r="F165" s="16"/>
      <x:c r="G165" s="16"/>
    </x:row>
    <x:row r="166" ht="29" customHeight="1">
      <x:c r="B166" s="22" t="str">
        <x:v>12  AI integration — weight 8%</x:v>
      </x:c>
      <x:c r="C166" s="22"/>
      <x:c r="D166" s="22"/>
      <x:c r="E166" s="22"/>
      <x:c r="F166" s="22"/>
      <x:c r="G166" s="22"/>
    </x:row>
    <x:row r="167" ht="27" customHeight="1">
      <x:c r="B167" s="23" t="str">
        <x:v>Desk AI ratings assess documented integration paths. Acceptance rating 3 still requires both agreed local use cases to pass the bank tests.</x:v>
      </x:c>
      <x:c r="C167" s="23"/>
      <x:c r="D167" s="23"/>
      <x:c r="E167" s="23"/>
      <x:c r="F167" s="23"/>
      <x:c r="G167" s="23"/>
    </x:row>
    <x:row r="168" ht="40" customHeight="1">
      <x:c r="B168" s="29" t="str">
        <x:v>Comparison dimension</x:v>
      </x:c>
      <x:c r="C168" s="29" t="str">
        <x:v>Informatica
PowerCenter</x:v>
      </x:c>
      <x:c r="D168" s="29" t="str">
        <x:v>Oracle ODI</x:v>
      </x:c>
      <x:c r="E168" s="29" t="str">
        <x:v>dbt Core v1
+ Oracle</x:v>
      </x:c>
      <x:c r="F168" s="29" t="str">
        <x:v>Cloudera Base
with Spark</x:v>
      </x:c>
      <x:c r="G168" s="29" t="str">
        <x:v>Apache Spark
(on premises)</x:v>
      </x:c>
    </x:row>
    <x:row r="169" ht="96" customHeight="1">
      <x:c r="B169" s="30" t="str">
        <x:v>Approach</x:v>
      </x:c>
      <x:c r="C169" s="16" t="str">
        <x:v>Integrate a local model through command tasks or a companion service. No verified native PowerCenter on-prem copilot in scope.</x:v>
      </x:c>
      <x:c r="D169" s="16" t="str">
        <x:v>Use local SQL/KM tooling and procedures to connect a separate model service. No native local assistant assumed.</x:v>
      </x:c>
      <x:c r="E169" s="16" t="str">
        <x:v>A self-hosted MCP server can expose local dbt actions to a local assistant; use a companion service for model inference.</x:v>
      </x:c>
      <x:c r="F169" s="16" t="str">
        <x:v>Spark supports ML pipelines; a Cloudera on-prem AI Inference service is an optional addition with its own prerequisites.</x:v>
      </x:c>
      <x:c r="G169" s="16" t="str">
        <x:v>Python/Scala and MLlib support integration and feature/scoring workloads. Add local model serving and assistant tooling.</x:v>
      </x:c>
    </x:row>
    <x:row r="170" ht="96" customHeight="1">
      <x:c r="B170" s="30" t="str">
        <x:v>Dependencies and limits</x:v>
      </x:c>
      <x:c r="C170" s="16" t="str">
        <x:v>CLAIRE GPT cloud functionality does not satisfy the strict locality requirement. Price the local integration components.</x:v>
      </x:c>
      <x:c r="D170" s="16" t="str">
        <x:v>Oracle database AI features require separate release/license validation; they are not automatically ODI features.</x:v>
      </x:c>
      <x:c r="E170" s="16" t="str">
        <x:v>A local MCP process alone does not prove a local model. Disable cloud APIs and validate every enabled tool and dependency.</x:v>
      </x:c>
      <x:c r="F170" s="16" t="str">
        <x:v>Name the AI service/release, GPU resources, container platform, model licenses and local registry. Base alone is not the full AI offer.</x:v>
      </x:c>
      <x:c r="G170" s="16" t="str">
        <x:v>MLlib is not a generative-model serving stack. Own model runtime, packaging, GPU dependencies and controlled endpoint access.</x:v>
      </x:c>
    </x:row>
    <x:row r="171" ht="118" customHeight="1">
      <x:c r="B171" s="30" t="str">
        <x:v>Provisional AI rating / rationale</x:v>
      </x:c>
      <x:c r="C171" s="16" t="str">
        <x:v>2/5 | Local model calls are an integration design; no verified native local PowerCenter assistant is credited. Cloud CLAIRE features earn no locality credit. Both bank use cases remain untested. [I11, A6]</x:v>
      </x:c>
      <x:c r="D171" s="16" t="str">
        <x:v>2/5 | Local assistants can work on SQL/KMs and external procedures can call a model, but no native on-prem ODI copilot is evidenced. Integration and audit controls must be built. [O1, O4]</x:v>
      </x:c>
      <x:c r="E171" s="16" t="str">
        <x:v>3/5 | Self-hosted MCP supports local Core v1 actions; a local assistant/model and inference companion remain separate. Credible integration path, not proof of a working bank deployment. [A2, D1]</x:v>
      </x:c>
      <x:c r="F171" s="16" t="str">
        <x:v>3/5 | Baseline credit is Spark MLlib and local code/API integration only. Cloudera AI Inference is an optional service with separate registry/GPU/platform prerequisites; no extra rating credit until scoped. [A3, A4]</x:v>
      </x:c>
      <x:c r="G171" s="16" t="str">
        <x:v>3/5 | MLlib and Python/Scala offer useful ML/inference integration paths. A local assistant and model server are still separate; throughput, audit and repeatability are untested. [A4, S4]</x:v>
      </x:c>
    </x:row>
    <x:row r="172" ht="96" customHeight="1">
      <x:c r="B172" s="30" t="str">
        <x:v>Common acceptance test</x:v>
      </x:c>
      <x:c r="C172" s="16" t="str">
        <x:v>With egress blocked, generate/review/test one mapping change and call a local model on a representative batch.</x:v>
      </x:c>
      <x:c r="D172" s="16" t="str">
        <x:v>Exercise authentication, timeout, throttling, retry and rollback using the same internal model and agreed data.</x:v>
      </x:c>
      <x:c r="E172" s="16" t="str">
        <x:v>Inspect model, MCP/client, package, prompt, metadata and log destinations. Require reviewed changes before production execution.</x:v>
      </x:c>
      <x:c r="F172" s="16" t="str">
        <x:v>Trace one inference from input to approved output with model/prompt version, audit evidence and restart behavior.</x:v>
      </x:c>
      <x:c r="G172" s="16" t="str">
        <x:v>Measure elapsed time, resource use and operator effort. Replay must not duplicate publication; persist accepted results when inference is nondeterministic.</x:v>
      </x:c>
    </x:row>
    <x:row r="173" ht="33" customHeight="1">
      <x:c r="B173" s="34" t="str">
        <x:v>Source IDs</x:v>
      </x:c>
      <x:c r="C173" s="34" t="str">
        <x:v>A6, I11, A5; A1 access restricted</x:v>
      </x:c>
      <x:c r="D173" s="34" t="str">
        <x:v>O1, O4, A5</x:v>
      </x:c>
      <x:c r="E173" s="34" t="str">
        <x:v>A2, D1, A5</x:v>
      </x:c>
      <x:c r="F173" s="34" t="str">
        <x:v>A3, A4, A5</x:v>
      </x:c>
      <x:c r="G173" s="34" t="str">
        <x:v>A4, S4, A5</x:v>
      </x:c>
    </x:row>
    <x:row r="174" ht="25" customHeight="1">
      <x:c r="B174" s="16"/>
      <x:c r="C174" s="16"/>
      <x:c r="D174" s="16"/>
      <x:c r="E174" s="16"/>
      <x:c r="F174" s="16"/>
      <x:c r="G174" s="16"/>
    </x:row>
    <x:row r="175" ht="29" customHeight="1">
      <x:c r="B175" s="22" t="str">
        <x:v>13  Open-source licensing and flexibility — weight 7%</x:v>
      </x:c>
      <x:c r="C175" s="22"/>
      <x:c r="D175" s="22"/>
      <x:c r="E175" s="22"/>
      <x:c r="F175" s="22"/>
      <x:c r="G175" s="22"/>
    </x:row>
    <x:row r="176" ht="27" customHeight="1">
      <x:c r="B176" s="23" t="str">
        <x:v>Desk openness scores reflect documented source rights and extension paths. Score 5 requires a demonstrated rebuild/patch/replacement; target Oracle is common to all.</x:v>
      </x:c>
      <x:c r="C176" s="23"/>
      <x:c r="D176" s="23"/>
      <x:c r="E176" s="23"/>
      <x:c r="F176" s="23"/>
      <x:c r="G176" s="23"/>
    </x:row>
    <x:row r="177" ht="40" customHeight="1">
      <x:c r="B177" s="29" t="str">
        <x:v>Comparison dimension</x:v>
      </x:c>
      <x:c r="C177" s="29" t="str">
        <x:v>Informatica
PowerCenter</x:v>
      </x:c>
      <x:c r="D177" s="29" t="str">
        <x:v>Oracle ODI</x:v>
      </x:c>
      <x:c r="E177" s="29" t="str">
        <x:v>dbt Core v1
+ Oracle</x:v>
      </x:c>
      <x:c r="F177" s="29" t="str">
        <x:v>Cloudera Base
with Spark</x:v>
      </x:c>
      <x:c r="G177" s="29" t="str">
        <x:v>Apache Spark
(on premises)</x:v>
      </x:c>
    </x:row>
    <x:row r="178" ht="96" customHeight="1">
      <x:c r="B178" s="30" t="str">
        <x:v>Core classification</x:v>
      </x:c>
      <x:c r="C178" s="16" t="str">
        <x:v>Proprietary PowerCenter engine. Third-party open-source libraries do not make the product open source.</x:v>
      </x:c>
      <x:c r="D178" s="16" t="str">
        <x:v>Proprietary ODI engine; editable KMs provide customization without changing engine licensing.</x:v>
      </x:c>
      <x:c r="E178" s="16" t="str">
        <x:v>Apache 2.0 Core v1 and Oracle adapter; Oracle/Exadata remains a proprietary dependency.</x:v>
      </x:c>
      <x:c r="F178" s="16" t="str">
        <x:v>Mixed distribution of open-source and commercial components/services; establish rights per offered component.</x:v>
      </x:c>
      <x:c r="G178" s="16" t="str">
        <x:v>Apache 2.0 Spark core, with separate notices/licenses for dependencies, connectors and surrounding services.</x:v>
      </x:c>
    </x:row>
    <x:row r="179" ht="96" customHeight="1">
      <x:c r="B179" s="30" t="str">
        <x:v>Evidence required</x:v>
      </x:c>
      <x:c r="C179" s="16" t="str">
        <x:v>Vendor contract and complete component list; document extension interfaces and vendor-only repair boundaries.</x:v>
      </x:c>
      <x:c r="D179" s="16" t="str">
        <x:v>Oracle terms, KM rights, driver/database dependencies and production entitlements.</x:v>
      </x:c>
      <x:c r="E179" s="16" t="str">
        <x:v>Archive selected Core/adapter LICENSE/NOTICE and dependency inventory; distinguish v1 from other distributions.</x:v>
      </x:c>
      <x:c r="F179" s="16" t="str">
        <x:v>Inventory upstream components, distribution terms, binary/update access and subscription-dependent services.</x:v>
      </x:c>
      <x:c r="G179" s="16" t="str">
        <x:v>Archive source tag, build recipe, LICENSE/NOTICE and dependency inventory; include the Oracle driver and model runtime.</x:v>
      </x:c>
    </x:row>
    <x:row r="180" ht="118" customHeight="1">
      <x:c r="B180" s="30" t="str">
        <x:v>Provisional openness rating / rationale</x:v>
      </x:c>
      <x:c r="C180" s="16" t="str">
        <x:v>2/5 | Proprietary core with mapping/command extension and export paths. The bank cannot assume rights to rebuild or patch the engine; confirm contract terms. [L1, I5, I6]</x:v>
      </x:c>
      <x:c r="D180" s="16" t="str">
        <x:v>2/5 | Editable KMs provide substantial extension of a proprietary engine. Agent/repository source and rights are separate from KM templates. [O1, L2]</x:v>
      </x:c>
      <x:c r="E180" s="16" t="str">
        <x:v>4/5 | Core v1 and dbt-oracle are Apache 2.0; SQL/macros and source can be maintained locally. Exact dependency rights and offline rebuild still need proof. Common Oracle target excluded from tool openness. [L3, D4]</x:v>
      </x:c>
      <x:c r="F180" s="16" t="str">
        <x:v>3/5 | Open-source components exist within a commercial distribution. Binary/update access, Manager and optional service terms require a component-level inventory. No blanket open-source claim. [L4, L5]</x:v>
      </x:c>
      <x:c r="G180" s="16" t="str">
        <x:v>4/5 | Apache 2.0 core permits source-based maintenance and extension. Dependency/connector rights and an offline rebuild remain to be validated; no maximum score without demonstration. [L6]</x:v>
      </x:c>
    </x:row>
    <x:row r="181" ht="96" customHeight="1">
      <x:c r="B181" s="30" t="str">
        <x:v>Common acceptance test</x:v>
      </x:c>
      <x:c r="C181" s="16" t="str">
        <x:v>Export a representative workflow and show the supported extension path. Record which changes require the vendor.</x:v>
      </x:c>
      <x:c r="D181" s="16" t="str">
        <x:v>Change a KM and trace generated code. Separate editable template logic from inaccessible engine code.</x:v>
      </x:c>
      <x:c r="E181" s="16" t="str">
        <x:v>Rebuild/install from pinned local packages, change a macro/adapter in a test branch and demonstrate maintainability.</x:v>
      </x:c>
      <x:c r="F181" s="16" t="str">
        <x:v>Trace an offered feature to its component/license; show access and replacement options if subscription terms change.</x:v>
      </x:c>
      <x:c r="G181" s="16" t="str">
        <x:v>Build a pinned release, replace a connector or library and rerun common tests. Record rights, effort and unresolved dependencies.</x:v>
      </x:c>
    </x:row>
    <x:row r="182" ht="33" customHeight="1">
      <x:c r="B182" s="34" t="str">
        <x:v>Source IDs</x:v>
      </x:c>
      <x:c r="C182" s="34" t="str">
        <x:v>L1, I5, I6</x:v>
      </x:c>
      <x:c r="D182" s="34" t="str">
        <x:v>L2, O1</x:v>
      </x:c>
      <x:c r="E182" s="34" t="str">
        <x:v>L3, D4</x:v>
      </x:c>
      <x:c r="F182" s="34" t="str">
        <x:v>L4, L5</x:v>
      </x:c>
      <x:c r="G182" s="34" t="str">
        <x:v>L6</x:v>
      </x:c>
    </x:row>
    <x:row r="183" ht="25" customHeight="1">
      <x:c r="B183" s="16"/>
      <x:c r="C183" s="16"/>
      <x:c r="D183" s="16"/>
      <x:c r="E183" s="16"/>
      <x:c r="F183" s="16"/>
      <x:c r="G183" s="16"/>
    </x:row>
    <x:row r="184" ht="30" customHeight="1">
      <x:c r="B184" s="106" t="str">
        <x:v>14  Architect recommendation — proof-of-concept priorities</x:v>
      </x:c>
      <x:c r="C184" s="106"/>
      <x:c r="D184" s="106"/>
      <x:c r="E184" s="106"/>
      <x:c r="F184" s="106"/>
      <x:c r="G184" s="106"/>
    </x:row>
    <x:row r="185" ht="28" customHeight="1">
      <x:c r="B185" s="109" t="str">
        <x:v>Judgment for the current Oracle EDW requirement; no commercial winner or bank-tested performance result is declared.</x:v>
      </x:c>
      <x:c r="C185" s="109"/>
      <x:c r="D185" s="109"/>
      <x:c r="E185" s="109"/>
      <x:c r="F185" s="109"/>
      <x:c r="G185" s="109"/>
    </x:row>
    <x:row r="186" ht="40" customHeight="1">
      <x:c r="B186" s="113" t="str">
        <x:v>Decision dimension</x:v>
      </x:c>
      <x:c r="C186" s="113" t="str">
        <x:v>Informatica PowerCenter</x:v>
      </x:c>
      <x:c r="D186" s="113" t="str">
        <x:v>Oracle ODI</x:v>
      </x:c>
      <x:c r="E186" s="113" t="str">
        <x:v>dbt Core v1 + Oracle</x:v>
      </x:c>
      <x:c r="F186" s="113" t="str">
        <x:v>Cloudera Base with Spark</x:v>
      </x:c>
      <x:c r="G186" s="113" t="str">
        <x:v>Apache Spark</x:v>
      </x:c>
    </x:row>
    <x:row r="187" ht="112" customHeight="1">
      <x:c r="B187" s="114" t="str">
        <x:v>Disposition</x:v>
      </x:c>
      <x:c r="C187" s="107" t="str">
        <x:v>SHORTLIST / CHALLENGER | Test against ODI using the same bank data. Strong integration coverage; purchase only with a fully local supported offer and demonstrated pushdown/recovery.</x:v>
      </x:c>
      <x:c r="D187" s="107" t="str">
        <x:v>LEAD SHORTLIST | Use as the baseline for Oracle EDW ELT. Prove ingestion topology, generated SQL, business-safe restart and actual staffing before selecting.</x:v>
      </x:c>
      <x:c r="E187" s="107" t="str">
        <x:v>CONDITIONAL SHORTLIST | Include if the bank will own or contract ingestion, scheduler and adapter support. A focused transformation POC can test whether simpler code offsets integration effort.</x:v>
      </x:c>
      <x:c r="F187" s="107" t="str">
        <x:v>DEFER AS PRIMARY ETL | Reopen if a separately justified lake/AI/distributed workload exists. This judgment is about the present scope, not general product capability.</x:v>
      </x:c>
      <x:c r="G187" s="107" t="str">
        <x:v>SPECIALIST COMPLEMENT | Use where distributed transformation/ML is demonstrably useful. Do not assemble a new primary bank ETL service without funded platform ownership.</x:v>
      </x:c>
    </x:row>
    <x:row r="188" ht="112" customHeight="1">
      <x:c r="B188" s="114" t="str">
        <x:v>Evaluated solution boundary</x:v>
      </x:c>
      <x:c r="C188" s="107" t="str">
        <x:v>PowerCenter local domain/repository/Integration Service; source connectors; separately quoted redo capture; local scheduler/monitor; controlled Oracle publication.</x:v>
      </x:c>
      <x:c r="D188" s="107" t="str">
        <x:v>ODI 14.1.2 documentation baseline; local agents/repositories; Oracle/file KMs; bank scheduler integration; separate capture only where required. Exact certified versions remain open.</x:v>
      </x:c>
      <x:c r="E188" s="107" t="str">
        <x:v>Pinned Core v1 + dbt-oracle + Python/driver; local Git/CI/packages; ingestion; scheduler; secrets/monitoring; Oracle staging and publication. Support owner mandatory.</x:v>
      </x:c>
      <x:c r="F188" s="107" t="str">
        <x:v>Pinned Base/Manager/Spark and security/metadata services; ingestion and Oracle loading; orchestration/monitoring. Flow Management and AI/Data Services remain explicit optional scope.</x:v>
      </x:c>
      <x:c r="G188" s="107" t="str">
        <x:v>Pinned Spark/JDK/Python/Oracle driver; selected cluster manager; ingestion; scheduler; storage/checkpoints; IAM/secrets; catalog/audit; support and publication framework.</x:v>
      </x:c>
    </x:row>
    <x:row r="189" ht="112" customHeight="1">
      <x:c r="B189" s="114" t="str">
        <x:v>Main unresolved decision risk</x:v>
      </x:c>
      <x:c r="C189" s="107" t="str">
        <x:v>Primary uncertainty: PowerCenter and required add-on entitlements, local release support, pushdown coverage and recovery of partially committed report sets.</x:v>
      </x:c>
      <x:c r="D189" s="107" t="str">
        <x:v>Primary uncertainty: source-readable replica design, log-capture access, actual Oracle headroom and safe restart of KM-generated SQL.</x:v>
      </x:c>
      <x:c r="E189" s="107" t="str">
        <x:v>Primary uncertainty: dbt-oracle behavior/support on the bank’s local Oracle release. No dbt Labs support is assumed; Autonomous examples are not local certification.</x:v>
      </x:c>
      <x:c r="F189" s="107" t="str">
        <x:v>Primary uncertainty: business justification for a second processing/storage estate, operator capacity and end-to-end Oracle delivery under cluster failure.</x:v>
      </x:c>
      <x:c r="G189" s="107" t="str">
        <x:v>Primary uncertainty: service ownership and bespoke engineering needed for correctness, security, DR and continued operation after staff changes.</x:v>
      </x:c>
    </x:row>
    <x:row r="190" ht="112" customHeight="1">
      <x:c r="B190" s="114" t="str">
        <x:v>Discriminating proof of concept</x:v>
      </x:c>
      <x:c r="C190" s="107" t="str">
        <x:v>POC: one complex SQL report mapping with full/partial pushdown; introduce a reject, duplicate and session outage. Reconcile final values and prove predictable rerun.</x:v>
      </x:c>
      <x:c r="D190" s="107" t="str">
        <x:v>POC: replica/file loading plus late correction and Load Plan interruption after a commit. Prove restart, unchanged totals on replay and no partially refreshed report set.</x:v>
      </x:c>
      <x:c r="E190" s="107" t="str">
        <x:v>POC: incremental model, snapshot/delete case and failing test on local Exadata; drive ingestion→dbt→publication from a local scheduler with egress blocked.</x:v>
      </x:c>
      <x:c r="F190" s="107" t="str">
        <x:v>POC only after scope justification: source→cluster→Oracle with a failed worker and target outage. Count every transfer and reconcile report output.</x:v>
      </x:c>
      <x:c r="G190" s="107" t="str">
        <x:v>POC only for justified workloads: executor failure during JDBC writes, retry and backlog. Demonstrate committed-key deduplication and atomic report visibility.</x:v>
      </x:c>
    </x:row>
    <x:row r="191" ht="112" customHeight="1">
      <x:c r="B191" s="114" t="str">
        <x:v>Evidence confidence</x:v>
      </x:c>
      <x:c r="C191" s="107" t="str">
        <x:v>Confidence: medium for product capabilities; low for offered licensing/lifecycle and bank outcomes. Some official pages are accessible only through search indexing.</x:v>
      </x:c>
      <x:c r="D191" s="107" t="str">
        <x:v>Confidence: medium-high for Oracle ELT/Load Plan capability; medium for bank fit. Actual performance, licenses, support duration and gate acceptance remain open.</x:v>
      </x:c>
      <x:c r="E191" s="107" t="str">
        <x:v>Confidence: medium for local SQL tooling/source rights; low for contractual adapter support and bank operations. Compatibility evidence is required before critical-report adoption.</x:v>
      </x:c>
      <x:c r="F191" s="107" t="str">
        <x:v>Confidence: medium for managed-platform capabilities; low for the unpriced exact bundle and staffing. No unselected paid service is assumed included.</x:v>
      </x:c>
      <x:c r="G191" s="107" t="str">
        <x:v>Confidence: high for engine-level primitives/source rights; low for an assembled bank service. Scores reflect the documented base and necessary engineering.</x:v>
      </x:c>
    </x:row>
    <x:row r="192" ht="112" customHeight="1">
      <x:c r="B192" s="114" t="str">
        <x:v>Commercial and gate status</x:v>
      </x:c>
      <x:c r="C192" s="107" t="str">
        <x:v>Cost/acceptance: not available. All three gates remain Pending. Obtain a comparable production/test/DR offer and completed common tests.</x:v>
      </x:c>
      <x:c r="D192" s="107" t="str">
        <x:v>Cost/acceptance: not available. All three gates remain Pending. Existing Oracle assets do not prove ODI/CDC production rights or available compute.</x:v>
      </x:c>
      <x:c r="E192" s="107" t="str">
        <x:v>Cost/acceptance: not available. All three gates remain Pending. Secure a support route and cost the complete ingestion-to-report service.</x:v>
      </x:c>
      <x:c r="F192" s="107" t="str">
        <x:v>Cost/acceptance: not available. All three gates remain Pending. Price the exact component set and operational team before reevaluation.</x:v>
      </x:c>
      <x:c r="G192" s="107" t="str">
        <x:v>Cost/acceptance: not available. All three gates remain Pending. Cost internal or contracted platform engineering and incident coverage.</x:v>
      </x:c>
    </x:row>
    <x:row r="193" ht="25" customHeight="1">
      <x:c r="B193" s="16"/>
      <x:c r="C193" s="16"/>
      <x:c r="D193" s="16"/>
      <x:c r="E193" s="16"/>
      <x:c r="F193" s="16"/>
      <x:c r="G193" s="16"/>
    </x:row>
    <x:row r="194" ht="28" customHeight="1">
      <x:c r="B194" s="115" t="str">
        <x:v>15  Bank requirements and scoring interpretation</x:v>
      </x:c>
      <x:c r="C194" s="115"/>
      <x:c r="D194" s="115"/>
      <x:c r="E194" s="115"/>
      <x:c r="F194" s="115"/>
      <x:c r="G194" s="115"/>
    </x:row>
    <x:row r="195" ht="48" customHeight="1">
      <x:c r="B195" s="117" t="str">
        <x:v>Observed context [B2, B3]: Kale dominates the source estate; archive/cheque databases and external files/web services also matter. Notes report late historical updates, overlapping member identities and many UG/Team Developer/web reports being moved toward MicroStrategy.</x:v>
      </x:c>
      <x:c r="C195" s="117"/>
      <x:c r="D195" s="117"/>
      <x:c r="E195" s="117"/>
      <x:c r="F195" s="117"/>
      <x:c r="G195" s="117"/>
    </x:row>
    <x:row r="196" ht="48" customHeight="1">
      <x:c r="B196" s="117" t="str">
        <x:v>Architect recommendation: maintain a reconciled historical EDW and purpose-built current/summary serving datasets with explicit freshness and report-ready state. Classify each report by latency, cutoff, owner and criticality. Transactional screens should move only after business acceptance; no single ETL tool creates this contract.</x:v>
      </x:c>
      <x:c r="C196" s="117"/>
      <x:c r="D196" s="117"/>
      <x:c r="E196" s="117"/>
      <x:c r="F196" s="117"/>
      <x:c r="G196" s="117"/>
    </x:row>
    <x:row r="197" ht="48" customHeight="1">
      <x:c r="B197" s="117" t="str">
        <x:v>Source protection: favor the approved replica/landing route and obtain DBA approval of snapshot consistency, read access and load limits. A read-only replica cannot host trigger journalizing. CDC source/log access and source-version support require a separate topology decision; do not infer them from a JDBC connection.</x:v>
      </x:c>
      <x:c r="C197" s="117"/>
      <x:c r="D197" s="117"/>
      <x:c r="E197" s="117"/>
      <x:c r="F197" s="117"/>
      <x:c r="G197" s="117"/>
    </x:row>
    <x:row r="198" ht="48" customHeight="1">
      <x:c r="B198" s="117" t="str">
        <x:v>Operational controls: use business date + source-ready signal + run/version ID. The notes describe manual end-of-day completion and inconsistent 03:00/06:00/07:00 timelines; those are observations, not an agreed SLA. Reject stale/missing feeds and block publication until every critical dependency and control passes.</x:v>
      </x:c>
      <x:c r="C198" s="117"/>
      <x:c r="D198" s="117"/>
      <x:c r="E198" s="117"/>
      <x:c r="F198" s="117"/>
      <x:c r="G198" s="117"/>
    </x:row>
    <x:row r="199" ht="48" customHeight="1">
      <x:c r="B199" s="117" t="str">
        <x:v>Common tests: insert/update/delete and late correction; initial-load-to-CDC handover; duplicate/late file; failed job after commit; target/agent outage; business-calendar exception; backup restore. Reconcile counts and monetary amounts by currency/business date/entity; test decimal precision, timestamps, encodings and null/key rules.</x:v>
      </x:c>
      <x:c r="C199" s="117"/>
      <x:c r="D199" s="117"/>
      <x:c r="E199" s="117"/>
      <x:c r="F199" s="117"/>
      <x:c r="G199" s="117"/>
    </x:row>
    <x:row r="200" ht="48" customHeight="1">
      <x:c r="B200" s="117" t="str">
        <x:v>Locality/security: keep runtime, administration, metadata, logs, backups and AI within the bank boundary. Link PowerDesigner ownership/sensitivity to deployed mappings and reports. Test least privilege, secret rotation, sensitive-value logging, restore and source-to-report traceability.</x:v>
      </x:c>
      <x:c r="C200" s="117"/>
      <x:c r="D200" s="117"/>
      <x:c r="E200" s="117"/>
      <x:c r="F200" s="117"/>
      <x:c r="G200" s="117"/>
    </x:row>
    <x:row r="201" ht="48" customHeight="1">
      <x:c r="B201" s="117" t="str">
        <x:v>Desk scoring: 0 unsuitable; 1 major gaps; 2 material integration work; 3 credible documented path; 4 strong architectural fit; 5 reserved for demonstrated superiority. Half points express judgment. These are not the repository’s bank-accepted test ratings. No numeric score certifies correctness, support or an SLA.</x:v>
      </x:c>
      <x:c r="C201" s="117"/>
      <x:c r="D201" s="117"/>
      <x:c r="E201" s="117"/>
      <x:c r="F201" s="117"/>
      <x:c r="G201" s="117"/>
    </x:row>
    <x:row r="202" ht="48" customHeight="1">
      <x:c r="B202" s="117" t="str">
        <x:v>Cost/scoring: preserve the ten existing weights (100%). The provisional fit score rescales the nine assessed criteria (91.5%); unquoted cost is excluded, not scored zero. The full total is suppressed until cost/evidence are supplied. At acceptance, replace desk ratings with test-supported ratings and record approvals.</x:v>
      </x:c>
      <x:c r="C202" s="117"/>
      <x:c r="D202" s="117"/>
      <x:c r="E202" s="117"/>
      <x:c r="F202" s="117"/>
      <x:c r="G202" s="117"/>
    </x:row>
    <x:row r="203" ht="48" customHeight="1">
      <x:c r="B203" s="117" t="str">
        <x:v>Architecture boundary: retaining Oracle Exadata is a comparison assumption based on the current estate. Revisit it if source diversity, workload tests or total cost justify another target. No bitemporal, Inmon, Kimball, Data Vault, ODS placement or specific ingestion product is imposed by this assessment.</x:v>
      </x:c>
      <x:c r="C203" s="117"/>
      <x:c r="D203" s="117"/>
      <x:c r="E203" s="117"/>
      <x:c r="F203" s="117"/>
      <x:c r="G203" s="117"/>
    </x:row>
  </x:sheetData>
  <x:mergeCells>
    <x:mergeCell ref="B184:G184"/>
    <x:mergeCell ref="B185:G185"/>
    <x:mergeCell ref="B194:G194"/>
    <x:mergeCell ref="B195:G195"/>
    <x:mergeCell ref="B196:G196"/>
    <x:mergeCell ref="B197:G197"/>
    <x:mergeCell ref="B198:G198"/>
    <x:mergeCell ref="B199:G199"/>
    <x:mergeCell ref="B200:G200"/>
    <x:mergeCell ref="B201:G201"/>
    <x:mergeCell ref="B202:G202"/>
    <x:mergeCell ref="B203:G20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 hidden="0" customWidth="1"/>
    <x:col min="2" max="2" width="8" hidden="0" customWidth="1"/>
    <x:col min="3" max="3" width="33" hidden="0" customWidth="1"/>
    <x:col min="4" max="4" width="86" hidden="0" customWidth="1"/>
    <x:col min="5" max="5" width="58" hidden="0" customWidth="1"/>
  </x:cols>
  <x:sheetData>
    <x:row r="1" ht="24" customHeight="1">
      <x:c r="A1" s="2"/>
      <x:c r="B1" s="2"/>
      <x:c r="C1" s="2"/>
      <x:c r="D1" s="2"/>
      <x:c r="E1" s="2"/>
    </x:row>
    <x:row r="2" ht="30" customHeight="1">
      <x:c r="A2" s="2"/>
      <x:c r="B2" s="3" t="str">
        <x:v>Sources and evidence limitations</x:v>
      </x:c>
      <x:c r="C2" s="2"/>
      <x:c r="D2" s="2"/>
      <x:c r="E2" s="2"/>
    </x:row>
    <x:row r="3" ht="24" customHeight="1">
      <x:c r="A3" s="2"/>
      <x:c r="B3" s="2" t="str">
        <x:v>Review date: 12 October 2026. Direct/index/retained status is stated per source. Documentation is not bank test, contract or price evidence.</x:v>
      </x:c>
      <x:c r="C3" s="2"/>
      <x:c r="D3" s="2"/>
      <x:c r="E3" s="2"/>
    </x:row>
    <x:row r="4" ht="24" customHeight="1">
      <x:c r="A4" s="2"/>
      <x:c r="B4" s="2"/>
      <x:c r="C4" s="2"/>
      <x:c r="D4" s="2"/>
      <x:c r="E4" s="2"/>
    </x:row>
    <x:row r="5" ht="40" customHeight="1">
      <x:c r="A5" s="2"/>
      <x:c r="B5" s="7" t="str">
        <x:v>ID</x:v>
      </x:c>
      <x:c r="C5" s="7" t="str">
        <x:v>Source</x:v>
      </x:c>
      <x:c r="D5" s="7" t="str">
        <x:v>Link / repository note</x:v>
      </x:c>
      <x:c r="E5" s="7" t="str">
        <x:v>Limitation</x:v>
      </x:c>
    </x:row>
    <x:row r="6" ht="76" hidden="0" customHeight="1">
      <x:c r="A6" s="2"/>
      <x:c r="B6" s="16" t="str">
        <x:v>O1</x:v>
      </x:c>
      <x:c r="C6" s="16" t="str">
        <x:v>ODI architecture and KMs</x:v>
      </x:c>
      <x:c r="D6" s="16" t="str">
        <x:v>https://docs.oracle.com/en/middleware/fusion-middleware/data-integrator/14.1.2/odiun/understanding-oracle-data-integrator-concepts.html</x:v>
      </x:c>
      <x:c r="E6" s="16" t="str">
        <x:v>Direct official page reviewed 12 Oct 2026. 14.1.2 documentation; confirm the exact release, entitlements and source/target compatibility for the bank.</x:v>
      </x:c>
    </x:row>
    <x:row r="7" ht="76" hidden="0" customHeight="1">
      <x:c r="A7" s="2"/>
      <x:c r="B7" s="16" t="str">
        <x:v>O2</x:v>
      </x:c>
      <x:c r="C7" s="16" t="str">
        <x:v>ODI Load Plans and recovery</x:v>
      </x:c>
      <x:c r="D7" s="16" t="str">
        <x:v>https://docs.oracle.com/en/middleware/fusion-middleware/data-integrator/14.1.2/odidg/using-load-plans.html</x:v>
      </x:c>
      <x:c r="E7" s="16" t="str">
        <x:v>Direct official page reviewed 12 Oct 2026. Test restart against transaction boundaries. Execution documentation is also listed under O4.</x:v>
      </x:c>
    </x:row>
    <x:row r="8" ht="76" hidden="0" customHeight="1">
      <x:c r="A8" s="2"/>
      <x:c r="B8" s="16" t="str">
        <x:v>O3</x:v>
      </x:c>
      <x:c r="C8" s="16" t="str">
        <x:v>ODI version control</x:v>
      </x:c>
      <x:c r="D8" s="16" t="str">
        <x:v>https://docs.oracle.com/en/middleware/fusion-middleware/data-integrator/14.1.2/odidg/integrating-odi-version-control-systems.html</x:v>
      </x:c>
      <x:c r="E8" s="16" t="str">
        <x:v>Direct official page reviewed 12 Oct 2026. Git/VCS integration description; measure the bank’s CI and object-merging workflow.</x:v>
      </x:c>
    </x:row>
    <x:row r="9" ht="76" hidden="0" customHeight="1">
      <x:c r="A9" s="2"/>
      <x:c r="B9" s="16" t="str">
        <x:v>O4</x:v>
      </x:c>
      <x:c r="C9" s="16" t="str">
        <x:v>ODI process execution</x:v>
      </x:c>
      <x:c r="D9" s="16" t="str">
        <x:v>https://docs.oracle.com/en/middleware/fusion-middleware/data-integrator/14.1.2/odiad/running-integration-processes.html</x:v>
      </x:c>
      <x:c r="E9" s="16" t="str">
        <x:v>Direct official page reviewed 12 Oct 2026. Open JDBC transaction state is not retained after an error; select restart points accordingly.</x:v>
      </x:c>
    </x:row>
    <x:row r="10" ht="76" hidden="0" customHeight="1">
      <x:c r="A10" s="2"/>
      <x:c r="B10" s="16" t="str">
        <x:v>I1</x:v>
      </x:c>
      <x:c r="C10" s="16" t="str">
        <x:v>PowerCenter pushdown</x:v>
      </x:c>
      <x:c r="D10" s="16" t="str">
        <x:v>https://docs.informatica.com/data-integration/powercenter/10-5-9/advanced-workflow-guide/pushdown-optimization-and-transformations/update-strategy-transformation.html</x:v>
      </x:c>
      <x:c r="E10" s="16" t="str">
        <x:v>Official search-index evidence rechecked 12 Oct 2026; direct fetch failed. Oracle full pushdown is listed. Rejected rows are not written to a reject file in full-pushdown mode. Test ordering, mapping coverage and reconciliation.</x:v>
      </x:c>
    </x:row>
    <x:row r="11" ht="76" hidden="0" customHeight="1">
      <x:c r="A11" s="2"/>
      <x:c r="B11" s="16" t="str">
        <x:v>I2</x:v>
      </x:c>
      <x:c r="C11" s="16" t="str">
        <x:v>PowerCenter recovery</x:v>
      </x:c>
      <x:c r="D11" s="16" t="str">
        <x:v>https://docs.informatica.com/data-integration/shared-content-for-data-integration/10-5/administrator-guide/high-availability/recovery.html</x:v>
      </x:c>
      <x:c r="E11" s="16" t="str">
        <x:v>Retained reference; not independently reopened in this review. 10.5-family documentation; confirm the selected 10.5.x release, license and state storage.</x:v>
      </x:c>
    </x:row>
    <x:row r="12" ht="76" hidden="0" customHeight="1">
      <x:c r="A12" s="2"/>
      <x:c r="B12" s="16" t="str">
        <x:v>I3</x:v>
      </x:c>
      <x:c r="C12" s="16" t="str">
        <x:v>CDI-PC components</x:v>
      </x:c>
      <x:c r="D12" s="16" t="str">
        <x:v>https://docs.informatica.com/integration-cloud/cloud-data-integration-for-powercenter/current-version/installation-guide-for-cloud-data-integration-for-powercenter--c/appendix-a--cdi-pc-components/components.html</x:v>
      </x:c>
      <x:c r="E12" s="16" t="str">
        <x:v>Official search-index evidence rechecked 12 Oct 2026; direct access restricted. Search-index evidence of IDMC services and cloud domain connectivity. Distinguish this from fully local PowerCenter.</x:v>
      </x:c>
    </x:row>
    <x:row r="13" ht="76" hidden="0" customHeight="1">
      <x:c r="A13" s="2"/>
      <x:c r="B13" s="16" t="str">
        <x:v>I4</x:v>
      </x:c>
      <x:c r="C13" s="16" t="str">
        <x:v>PowerCenter team development</x:v>
      </x:c>
      <x:c r="D13" s="16" t="str">
        <x:v>https://docs.informatica.com/content/dam/source/GUID-2/GUID-299EC712-F9AA-4FF9-B836-FD2F641BF712/1/en/0849_TeamBasedDevelopmentInThePowerCenterRepositoryAndTheModelRepository_en_H2L.pdf</x:v>
      </x:c>
      <x:c r="E13" s="16" t="str">
        <x:v>Direct PDF access restricted 12 Oct 2026; inherited guide not newly confirmed. I13 independently corroborates repository-versioning entitlement. Confirm selected-release deployment and comparison behavior.</x:v>
      </x:c>
    </x:row>
    <x:row r="14" ht="76" hidden="0" customHeight="1">
      <x:c r="A14" s="2"/>
      <x:c r="B14" s="16" t="str">
        <x:v>D1</x:v>
      </x:c>
      <x:c r="C14" s="16" t="str">
        <x:v>dbt v1 Oracle setup</x:v>
      </x:c>
      <x:c r="D14" s="16" t="str">
        <x:v>https://docs.getdbt.com/docs/local/connect-data-platform/oracle-setup</x:v>
      </x:c>
      <x:c r="E14" s="16" t="str">
        <x:v>Direct official page reviewed 12 Oct 2026. Oracle-maintained; dbt support: Not Supported; minimum database 12c+. Ephemeral unsupported. Exact Core/adapter/driver/local Exadata compatibility remains unverified.</x:v>
      </x:c>
    </x:row>
    <x:row r="15" ht="76" hidden="0" customHeight="1">
      <x:c r="A15" s="2"/>
      <x:c r="B15" s="16" t="str">
        <x:v>D2</x:v>
      </x:c>
      <x:c r="C15" s="16" t="str">
        <x:v>dbt incremental models</x:v>
      </x:c>
      <x:c r="D15" s="16" t="str">
        <x:v>https://docs.getdbt.com/docs/build/incremental-models</x:v>
      </x:c>
      <x:c r="E15" s="16" t="str">
        <x:v>Direct official page reviewed 12 Oct 2026. General design documentation; confirm supported strategies and schema behaviour in the pinned Oracle adapter.</x:v>
      </x:c>
    </x:row>
    <x:row r="16" ht="76" hidden="0" customHeight="1">
      <x:c r="A16" s="2"/>
      <x:c r="B16" s="16" t="str">
        <x:v>D3</x:v>
      </x:c>
      <x:c r="C16" s="16" t="str">
        <x:v>dbt data tests</x:v>
      </x:c>
      <x:c r="D16" s="16" t="str">
        <x:v>https://docs.getdbt.com/docs/build/data-tests</x:v>
      </x:c>
      <x:c r="E16" s="16" t="str">
        <x:v>Direct official page reviewed 12 Oct 2026. Purpose of data tests. Do not transfer every documented product/release feature to Core v1.</x:v>
      </x:c>
    </x:row>
    <x:row r="17" ht="76" hidden="0" customHeight="1">
      <x:c r="A17" s="2"/>
      <x:c r="B17" s="16" t="str">
        <x:v>D4</x:v>
      </x:c>
      <x:c r="C17" s="16" t="str">
        <x:v>Oracle dbt adapter repository</x:v>
      </x:c>
      <x:c r="D17" s="16" t="str">
        <x:v>https://github.com/oracle/dbt-oracle</x:v>
      </x:c>
      <x:c r="E17" s="16" t="str">
        <x:v>Direct Oracle repository reviewed 12 Oct 2026. Apache 2.0; README focuses on Autonomous Database. Maintenance/source availability is not contractual support or certification for the bank’s local Exadata.</x:v>
      </x:c>
    </x:row>
    <x:row r="18" ht="76" hidden="0" customHeight="1">
      <x:c r="A18" s="2"/>
      <x:c r="B18" s="16" t="str">
        <x:v>D5</x:v>
      </x:c>
      <x:c r="C18" s="16" t="str">
        <x:v>dbt usage statistics</x:v>
      </x:c>
      <x:c r="D18" s="16" t="str">
        <x:v>https://docs.getdbt.com/reference/global-configs/usage-stats</x:v>
      </x:c>
      <x:c r="E18" s="16" t="str">
        <x:v>Direct official page reviewed 12 Oct 2026. Rechecked on 12 October 2026; test settings and blocked egress using the pinned release.</x:v>
      </x:c>
    </x:row>
    <x:row r="19" ht="76" hidden="0" customHeight="1">
      <x:c r="A19" s="2"/>
      <x:c r="B19" s="16" t="str">
        <x:v>C1</x:v>
      </x:c>
      <x:c r="C19" s="16" t="str">
        <x:v>Cloudera local reference architecture</x:v>
      </x:c>
      <x:c r="D19" s="16" t="str">
        <x:v>https://docs.cloudera.com/cdp-reference-architectures/latest/cdp-pvc-base-ra/topics/ra-cdpdc-abstract.html</x:v>
      </x:c>
      <x:c r="E19" s="16" t="str">
        <x:v>Direct official page reviewed 12 Oct 2026. Illustrative service architecture; not a substitute for the official support matrix or commercial offer.</x:v>
      </x:c>
    </x:row>
    <x:row r="20" ht="76" hidden="0" customHeight="1">
      <x:c r="A20" s="2"/>
      <x:c r="B20" s="16" t="str">
        <x:v>C2</x:v>
      </x:c>
      <x:c r="C20" s="16" t="str">
        <x:v>Cloudera air-gap installation</x:v>
      </x:c>
      <x:c r="D20" s="16" t="str">
        <x:v>https://docs.cloudera.com/cdp-private-cloud-data-services/1.5.5/installation/topics/cdppvc-installation-airgap.html</x:v>
      </x:c>
      <x:c r="E20" s="16" t="str">
        <x:v>Direct official page reviewed 12 Oct 2026. Installation example for 1.5.5; separately verify that every optional service remains on premises.</x:v>
      </x:c>
    </x:row>
    <x:row r="21" ht="76" hidden="0" customHeight="1">
      <x:c r="A21" s="2"/>
      <x:c r="B21" s="16" t="str">
        <x:v>C3</x:v>
      </x:c>
      <x:c r="C21" s="16" t="str">
        <x:v>Cloudera Flow Management dependencies</x:v>
      </x:c>
      <x:c r="D21" s="16" t="str">
        <x:v>https://docs.cloudera.com/cfm/4.10.0/deployment/topics/cfm-install-cdp.html</x:v>
      </x:c>
      <x:c r="E21" s="16" t="str">
        <x:v>Direct official page reviewed 12 Oct 2026. Base/Manager and security services for NiFi installation. Price subscription scope separately.</x:v>
      </x:c>
    </x:row>
    <x:row r="22" ht="76" hidden="0" customHeight="1">
      <x:c r="A22" s="2"/>
      <x:c r="B22" s="16" t="str">
        <x:v>S1</x:v>
      </x:c>
      <x:c r="C22" s="16" t="str">
        <x:v>Spark JDBC</x:v>
      </x:c>
      <x:c r="D22" s="16" t="str">
        <x:v>https://spark.apache.org/docs/latest/sql-data-sources-jdbc.html</x:v>
      </x:c>
      <x:c r="E22" s="16" t="str">
        <x:v>Direct official page reviewed 12 Oct 2026. The page described 4.2.0 at review; pin the production release. Test connection limits and pushdown behaviour for that release.</x:v>
      </x:c>
    </x:row>
    <x:row r="23" ht="76" hidden="0" customHeight="1">
      <x:c r="A23" s="2"/>
      <x:c r="B23" s="16" t="str">
        <x:v>S2</x:v>
      </x:c>
      <x:c r="C23" s="16" t="str">
        <x:v>Spark Structured Streaming</x:v>
      </x:c>
      <x:c r="D23" s="16" t="str">
        <x:v>https://spark.apache.org/docs/latest/streaming/apis-on-dataframes-and-datasets.html</x:v>
      </x:c>
      <x:c r="E23" s="16" t="str">
        <x:v>Direct official page reviewed 12 Oct 2026. Design checkpoint and sink behaviour end to end; do not assume automatic exactly-once Oracle publication.</x:v>
      </x:c>
    </x:row>
    <x:row r="24" ht="76" hidden="0" customHeight="1">
      <x:c r="A24" s="2"/>
      <x:c r="B24" s="16" t="str">
        <x:v>S3</x:v>
      </x:c>
      <x:c r="C24" s="16" t="str">
        <x:v>Spark security</x:v>
      </x:c>
      <x:c r="D24" s="16" t="str">
        <x:v>https://spark.apache.org/docs/latest/security.html</x:v>
      </x:c>
      <x:c r="E24" s="16" t="str">
        <x:v>Direct official page reviewed 12 Oct 2026. Engine settings; separately scope cluster-manager and external-component security.</x:v>
      </x:c>
    </x:row>
    <x:row r="25" ht="76" hidden="0" customHeight="1">
      <x:c r="A25" s="2"/>
      <x:c r="B25" s="16" t="str">
        <x:v>S4</x:v>
      </x:c>
      <x:c r="C25" s="16" t="str">
        <x:v>Spark application submission</x:v>
      </x:c>
      <x:c r="D25" s="16" t="str">
        <x:v>https://spark.apache.org/docs/latest/submitting-applications.html</x:v>
      </x:c>
      <x:c r="E25" s="16" t="str">
        <x:v>Direct official page reviewed 12 Oct 2026. spark-submit and packaging; not an enterprise business calendar or service SLA.</x:v>
      </x:c>
    </x:row>
    <x:row r="26" ht="76" hidden="0" customHeight="1">
      <x:c r="A26" s="2"/>
      <x:c r="B26" s="16" t="str">
        <x:v>T1</x:v>
      </x:c>
      <x:c r="C26" s="16" t="str">
        <x:v>Common costing method</x:v>
      </x:c>
      <x:c r="D26" s="16" t="str">
        <x:v>ETL Vendor RFI and Commercial Evaluation.md</x:v>
      </x:c>
      <x:c r="E26" s="16" t="str">
        <x:v>Internal note; not vendor verification. Repository methodology, not a price source. Comparable quotes, staffing estimates and capacity assumptions remain outstanding.</x:v>
      </x:c>
    </x:row>
    <x:row r="27" ht="76" hidden="0" customHeight="1">
      <x:c r="A27" s="2"/>
      <x:c r="B27" s="16" t="str">
        <x:v>B1</x:v>
      </x:c>
      <x:c r="C27" s="16" t="str">
        <x:v>Bank context and boundary</x:v>
      </x:c>
      <x:c r="D27" s="16" t="str">
        <x:v>Fiziksel Topoloji - Teknik Taraf; PowerDesigner Bilgilendirme; user confirmation, 28 September 2026</x:v>
      </x:c>
      <x:c r="E27" s="16" t="str">
        <x:v>Internal note; not vendor verification. Repository notes and user requirement. Confirm operational signals, capacity, Automic and target architecture with the bank.</x:v>
      </x:c>
    </x:row>
    <x:row r="28" ht="76" hidden="0" customHeight="1">
      <x:c r="A28" s="2"/>
      <x:c r="B28" s="16" t="str">
        <x:v>O5</x:v>
      </x:c>
      <x:c r="C28" s="16" t="str">
        <x:v>ODI Oracle KMs</x:v>
      </x:c>
      <x:c r="D28" s="16" t="str">
        <x:v>https://docs.oracle.com/en/middleware/fusion-middleware/data-integrator/14.1.2/odikm/oracle-database.html</x:v>
      </x:c>
      <x:c r="E28" s="16" t="str">
        <x:v>Direct 14.1.2 official page reviewed 12 Oct 2026. Oracle Simple, Consistent and Update Date JKMs use triggers; GoldenGate is a distinct integration. CKM checks, merge/SCD and file-loading KMs documented.</x:v>
      </x:c>
    </x:row>
    <x:row r="29" ht="76" hidden="0" customHeight="1">
      <x:c r="A29" s="2"/>
      <x:c r="B29" s="16" t="str">
        <x:v>I5</x:v>
      </x:c>
      <x:c r="C29" s="16" t="str">
        <x:v>PowerCenter Designer Guide</x:v>
      </x:c>
      <x:c r="D29" s="16" t="str">
        <x:v>https://docs.informatica.com/content/dam/source/GUID-B/GUID-B54ED1F4-60B8-4F11-8E22-48C4BECE109A/34/en/PC_1056_DesignerGuide_en.pdf</x:v>
      </x:c>
      <x:c r="E29" s="16" t="str">
        <x:v>Direct PDF access failed 12 Oct 2026; inherited 10.5.6 reference not newly confirmed. I12 corroborates older Type 2 mapping patterns; exact release and broader feature rights remain to verify.</x:v>
      </x:c>
    </x:row>
    <x:row r="30" ht="76" hidden="0" customHeight="1">
      <x:c r="A30" s="2"/>
      <x:c r="B30" s="16" t="str">
        <x:v>I6</x:v>
      </x:c>
      <x:c r="C30" s="16" t="str">
        <x:v>PowerCenter Workflow Basics</x:v>
      </x:c>
      <x:c r="D30" s="16" t="str">
        <x:v>https://docs.informatica.com/content/dam/source/GUID-7/GUID-7D547585-D0CF-4692-9CB1-9AEF344711E5/36/en/PC_105_WorkflowBasicsGuide_en.pdf</x:v>
      </x:c>
      <x:c r="E30" s="16" t="str">
        <x:v>Direct PDF access returned 403 on 12 Oct 2026. I11 corroborates Command tasks in older 10.2 HF2 documentation. Confirm selected-release scheduler, CLI and workflow behavior.</x:v>
      </x:c>
    </x:row>
    <x:row r="31" ht="76" hidden="0" customHeight="1">
      <x:c r="B31" s="16" t="str">
        <x:v>I7</x:v>
      </x:c>
      <x:c r="C31" s="16" t="str">
        <x:v>PowerCenter licensed services</x:v>
      </x:c>
      <x:c r="D31" s="16" t="str">
        <x:v>https://docs.informatica.com/data-integration/common-content-for-data-integration/10-5-9/installation-for-powercenter-and-data-quality/part-2--before-you-install-the-services/prepare-for-application-services-and-databases/identify-application-services-by-product.html</x:v>
      </x:c>
      <x:c r="E31" s="16" t="str">
        <x:v>Retained reference; not independently reopened in this review. Service entitlement depends on license key; require explicit connector/HA/partitioning scope in the offer. Search-index evidence.</x:v>
      </x:c>
    </x:row>
    <x:row r="32" ht="76" hidden="0" customHeight="1">
      <x:c r="B32" s="16" t="str">
        <x:v>I8</x:v>
      </x:c>
      <x:c r="C32" s="16" t="str">
        <x:v>PowerCenter Advanced Workflow Guide</x:v>
      </x:c>
      <x:c r="D32" s="16" t="str">
        <x:v>https://docs.informatica.com/content/dam/source/GUID-C/GUID-C8BED160-70C5-4C88-BDF6-800DF653A287/39/en/PC_1056_AdvancedWorkflowGuide_en.pdf</x:v>
      </x:c>
      <x:c r="E32" s="16" t="str">
        <x:v>Official search-index evidence rechecked 12 Oct 2026; direct access restricted. 10.5.6: partitioning, pushdown, real-time and recovery. Full pushdown does not support incremental session recovery.</x:v>
      </x:c>
    </x:row>
    <x:row r="33" ht="76" hidden="0" customHeight="1">
      <x:c r="B33" s="16" t="str">
        <x:v>I9</x:v>
      </x:c>
      <x:c r="C33" s="16" t="str">
        <x:v>PowerCenter security roles</x:v>
      </x:c>
      <x:c r="D33" s="16" t="str">
        <x:v>https://docs.informatica.com/data-integration/common-content-for-data-integration/10-5-8/_security-guide_shared-content-for-data-integration_10-5-8_ditamap/privileges_and_roles/assigning_privileges_and_roles_to_users_and_groups.html</x:v>
      </x:c>
      <x:c r="E33" s="16" t="str">
        <x:v>Retained reference; not independently reopened in this review. 10.5.8 privileges/roles. Search-index evidence; this does not establish an external vault connector. Confirm selected integrations.</x:v>
      </x:c>
    </x:row>
    <x:row r="34" ht="76" hidden="0" customHeight="1">
      <x:c r="B34" s="16" t="str">
        <x:v>D6</x:v>
      </x:c>
      <x:c r="C34" s="16" t="str">
        <x:v>dbt snapshots</x:v>
      </x:c>
      <x:c r="D34" s="16" t="str">
        <x:v>https://docs.getdbt.com/docs/build/snapshots</x:v>
      </x:c>
      <x:c r="E34" s="16" t="str">
        <x:v>Direct official page reviewed 12 Oct 2026. Snapshot history is not automatically business-effective history. Pin Core/Oracle versions and confirm supported strategies.</x:v>
      </x:c>
    </x:row>
    <x:row r="35" ht="76" hidden="0" customHeight="1">
      <x:c r="B35" s="16" t="str">
        <x:v>D8</x:v>
      </x:c>
      <x:c r="C35" s="16" t="str">
        <x:v>dbt seeds</x:v>
      </x:c>
      <x:c r="D35" s="16" t="str">
        <x:v>https://docs.getdbt.com/docs/build/seeds</x:v>
      </x:c>
      <x:c r="E35" s="16" t="str">
        <x:v>Direct official page reviewed 12 Oct 2026. Small CSV reference datasets; not a general-purpose bulk/API/CDC ingestion service.</x:v>
      </x:c>
    </x:row>
    <x:row r="36" ht="76" hidden="0" customHeight="1">
      <x:c r="B36" s="16" t="str">
        <x:v>D9</x:v>
      </x:c>
      <x:c r="C36" s="16" t="str">
        <x:v>dbt Core v1 project</x:v>
      </x:c>
      <x:c r="D36" s="16" t="str">
        <x:v>https://github.com/dbt-labs/dbt/tree/1.latest</x:v>
      </x:c>
      <x:c r="E36" s="16" t="str">
        <x:v>Retained reference; not independently reopened in this review. Version-specific project/CLI baseline; do not transfer cloud/v2 features to the selected Core v1 candidate.</x:v>
      </x:c>
    </x:row>
    <x:row r="37" ht="76" hidden="0" customHeight="1">
      <x:c r="B37" s="16" t="str">
        <x:v>S5</x:v>
      </x:c>
      <x:c r="C37" s="16" t="str">
        <x:v>Spark SQL and data sources</x:v>
      </x:c>
      <x:c r="D37" s="16" t="str">
        <x:v>https://spark.apache.org/docs/latest/sql-programming-guide.html</x:v>
      </x:c>
      <x:c r="E37" s="16" t="str">
        <x:v>Retained reference; not independently reopened in this review. General SQL/DataFrame/file-processing capabilities. Pin actual production release; latest is not the acceptance baseline.</x:v>
      </x:c>
    </x:row>
    <x:row r="38" ht="76" hidden="0" customHeight="1">
      <x:c r="B38" s="16" t="str">
        <x:v>S6</x:v>
      </x:c>
      <x:c r="C38" s="16" t="str">
        <x:v>Spark monitoring</x:v>
      </x:c>
      <x:c r="D38" s="16" t="str">
        <x:v>https://spark.apache.org/docs/latest/monitoring.html</x:v>
      </x:c>
      <x:c r="E38" s="16" t="str">
        <x:v>Direct official page reviewed 12 Oct 2026. UI, history, event logs and metrics do not by themselves provide enterprise audit, catalog or on-call operations.</x:v>
      </x:c>
    </x:row>
    <x:row r="39" ht="76" hidden="0" customHeight="1">
      <x:c r="B39" s="16" t="str">
        <x:v>C4</x:v>
      </x:c>
      <x:c r="C39" s="16" t="str">
        <x:v>Cloudera Base services</x:v>
      </x:c>
      <x:c r="D39" s="16" t="str">
        <x:v>https://docs.cloudera.com/cdp-reference-architectures/latest/cdp-pvc-base-ra/topics/ra-cdpdc-whats-new.html</x:v>
      </x:c>
      <x:c r="E39" s="16" t="str">
        <x:v>Direct official page reviewed 12 Oct 2026. Ranger/Atlas capabilities depend on deployed services, connectors and permissions. No blanket Oracle/report coverage.</x:v>
      </x:c>
    </x:row>
    <x:row r="40" ht="76" hidden="0" customHeight="1">
      <x:c r="B40" s="16" t="str">
        <x:v>C5</x:v>
      </x:c>
      <x:c r="C40" s="16" t="str">
        <x:v>Cloudera Atlas configuration</x:v>
      </x:c>
      <x:c r="D40" s="16" t="str">
        <x:v>https://docs.cloudera.com/runtime/latest/atlas-configuring/index.html</x:v>
      </x:c>
      <x:c r="E40" s="16" t="str">
        <x:v>Retained Atlas configuration reference; it does not substantiate Cloudera Manager health/alert claims. Use C7 for Manager monitoring. Exact source-to-Oracle/report lineage remains unverified.</x:v>
      </x:c>
    </x:row>
    <x:row r="41" ht="76" hidden="0" customHeight="1">
      <x:c r="B41" s="16" t="str">
        <x:v>C6</x:v>
      </x:c>
      <x:c r="C41" s="16" t="str">
        <x:v>Cloudera Base role assignments</x:v>
      </x:c>
      <x:c r="D41" s="16" t="str">
        <x:v>https://docs.cloudera.com/cdp-private-cloud-base/7.3.2/cdp-private-cloud-base-installation/topics/cdpdc-runtime-cluster-hosts-role-assignments.html</x:v>
      </x:c>
      <x:c r="E41" s="16" t="str">
        <x:v>Retained reference; not independently reopened in this review. 7.3.2 deployment/HA guidance; full bank DR acceptance remains outstanding.</x:v>
      </x:c>
    </x:row>
    <x:row r="42" ht="76" hidden="0" customHeight="1">
      <x:c r="B42" s="16" t="str">
        <x:v>A1</x:v>
      </x:c>
      <x:c r="C42" s="16" t="str">
        <x:v>CLAIRE GPT scope</x:v>
      </x:c>
      <x:c r="D42" s="16" t="str">
        <x:v>https://docs.informatica.com/content/dam/videos/prod/clairegpt/clairegpt-getting-started-guide.pdf</x:v>
      </x:c>
      <x:c r="E42" s="16" t="str">
        <x:v>Direct PDF access returned 403 on 12 Oct 2026. A6 independently corroborates CLAIRE GPT within IDMC service scope. No evidence of a native local PowerCenter copilot is credited.</x:v>
      </x:c>
    </x:row>
    <x:row r="43" ht="76" hidden="0" customHeight="1">
      <x:c r="B43" s="16" t="str">
        <x:v>A2</x:v>
      </x:c>
      <x:c r="C43" s="16" t="str">
        <x:v>dbt self-hosted MCP</x:v>
      </x:c>
      <x:c r="D43" s="16" t="str">
        <x:v>https://docs.getdbt.com/docs/dbt-ai/about-mcp</x:v>
      </x:c>
      <x:c r="E43" s="16" t="str">
        <x:v>Direct official page reviewed 12 Oct 2026. Local server can operate on local projects without a platform account. Model hosting, enabled tools, telemetry and package installation must also remain local.</x:v>
      </x:c>
    </x:row>
    <x:row r="44" ht="76" hidden="0" customHeight="1">
      <x:c r="B44" s="16" t="str">
        <x:v>A3</x:v>
      </x:c>
      <x:c r="C44" s="16" t="str">
        <x:v>Cloudera on-prem AI Inference</x:v>
      </x:c>
      <x:c r="D44" s="16" t="str">
        <x:v>https://docs.cloudera.com/machine-learning/1.5.5/setup-cloudera-ai-inference/topics/ml-caii-prerequisites-set-up.html</x:v>
      </x:c>
      <x:c r="E44" s="16" t="str">
        <x:v>Direct official 1.5.5 page reviewed 12 Oct 2026. Optional AI Inference requires local AI Registry, GPU-node setup and dedicated TLS. No credit as part of Base-only scope; quote and test disconnected service separately.</x:v>
      </x:c>
    </x:row>
    <x:row r="45" ht="76" hidden="0" customHeight="1">
      <x:c r="B45" s="16" t="str">
        <x:v>A4</x:v>
      </x:c>
      <x:c r="C45" s="16" t="str">
        <x:v>Spark MLlib</x:v>
      </x:c>
      <x:c r="D45" s="16" t="str">
        <x:v>https://spark.apache.org/docs/latest/ml-guide.html</x:v>
      </x:c>
      <x:c r="E45" s="16" t="str">
        <x:v>Direct official page reviewed 12 Oct 2026. ML pipelines/algorithms are not an LLM hosting service or integrated development copilot.</x:v>
      </x:c>
    </x:row>
    <x:row r="46" ht="76" hidden="0" customHeight="1">
      <x:c r="B46" s="16" t="str">
        <x:v>A5</x:v>
      </x:c>
      <x:c r="C46" s="16" t="str">
        <x:v>Bank AI acceptance design</x:v>
      </x:c>
      <x:c r="D46" s="16" t="str">
        <x:v>ETL Tool Evaluation.md — AI integration and open-source evaluation</x:v>
      </x:c>
      <x:c r="E46" s="16" t="str">
        <x:v>Internal note; not vendor verification. Architectural test requirements, not a vendor capability claim. Verify local models, prompts, metadata, logs and inference controls.</x:v>
      </x:c>
    </x:row>
    <x:row r="47" ht="76" hidden="0" customHeight="1">
      <x:c r="B47" s="16" t="str">
        <x:v>L1</x:v>
      </x:c>
      <x:c r="C47" s="16" t="str">
        <x:v>PowerCenter license requirement</x:v>
      </x:c>
      <x:c r="D47" s="16" t="str">
        <x:v>https://docs.informatica.com/data-integration/common-content-for-data-integration/10-5-8/installation-for-powercenter-and-data-quality/part-2--before-you-install-the-services/before-you-install-the-services-on-windows/verify-the-license-key.html</x:v>
      </x:c>
      <x:c r="E47" s="16" t="str">
        <x:v>Retained reference; not independently reopened in this review. Commercial product installation requires vendor license key; actual rights are established by the purchased contract.</x:v>
      </x:c>
    </x:row>
    <x:row r="48" ht="76" hidden="0" customHeight="1">
      <x:c r="B48" s="16" t="str">
        <x:v>L2</x:v>
      </x:c>
      <x:c r="C48" s="16" t="str">
        <x:v>Oracle ODI distribution terms</x:v>
      </x:c>
      <x:c r="D48" s="16" t="str">
        <x:v>https://docs.oracle.com/en/middleware/fusion-middleware/14.1.2/mstrd/download-installation-and-configuration-readme.html</x:v>
      </x:c>
      <x:c r="E48" s="16" t="str">
        <x:v>Direct official page reviewed 12 Oct 2026. Distinguishes developer/trial/purchased software download terms. Free download does not establish production or open-source rights.</x:v>
      </x:c>
    </x:row>
    <x:row r="49" ht="76" hidden="0" customHeight="1">
      <x:c r="B49" s="16" t="str">
        <x:v>L3</x:v>
      </x:c>
      <x:c r="C49" s="16" t="str">
        <x:v>dbt Core v1 licensing</x:v>
      </x:c>
      <x:c r="D49" s="16" t="str">
        <x:v>https://github.com/dbt-labs/dbt-core/blob/main/docs/roadmap/2025-05-new-engine-same-language.md</x:v>
      </x:c>
      <x:c r="E49" s="16" t="str">
        <x:v>Direct official roadmap reviewed 12 Oct 2026 (redirects to dbt-labs/dbt). Core v1 Apache 2.0 statement; archive exact release LICENSE/NOTICE. Do not apply this to other engines/distributions.</x:v>
      </x:c>
    </x:row>
    <x:row r="50" ht="76" hidden="0" customHeight="1">
      <x:c r="B50" s="16" t="str">
        <x:v>L4</x:v>
      </x:c>
      <x:c r="C50" s="16" t="str">
        <x:v>Cloudera component licensing</x:v>
      </x:c>
      <x:c r="D50" s="16" t="str">
        <x:v>https://docs.cloudera.com/common/html/legal.html</x:v>
      </x:c>
      <x:c r="E50" s="16" t="str">
        <x:v>Direct official page reviewed 12 Oct 2026. Distribution contains multiple open-source/third-party licenses; assess the offered component inventory, not one platform-wide label.</x:v>
      </x:c>
    </x:row>
    <x:row r="51" ht="76" hidden="0" customHeight="1">
      <x:c r="B51" s="16" t="str">
        <x:v>L5</x:v>
      </x:c>
      <x:c r="C51" s="16" t="str">
        <x:v>Cloudera on-prem subscriptions</x:v>
      </x:c>
      <x:c r="D51" s="16" t="str">
        <x:v>https://www.cloudera.com/products/pricing.html</x:v>
      </x:c>
      <x:c r="E51" s="16" t="str">
        <x:v>Direct official page reviewed 12 Oct 2026. On-prem Base/Data Services subscriptions. No quoted prices assumed; source availability and binary/support access are separate.</x:v>
      </x:c>
    </x:row>
    <x:row r="52" ht="76" hidden="0" customHeight="1">
      <x:c r="B52" s="16" t="str">
        <x:v>L6</x:v>
      </x:c>
      <x:c r="C52" s="16" t="str">
        <x:v>Apache Spark license</x:v>
      </x:c>
      <x:c r="D52" s="16" t="str">
        <x:v>https://github.com/apache/spark/blob/master/LICENSE</x:v>
      </x:c>
      <x:c r="E52" s="16" t="str">
        <x:v>Direct official page reviewed 12 Oct 2026. Apache 2.0 core plus dependency notices. Archive the license/NOTICE for the selected release; JDBC/model/service licenses are separate.</x:v>
      </x:c>
    </x:row>
    <x:row r="53" ht="76" hidden="0" customHeight="1">
      <x:c r="B53" s="107" t="str">
        <x:v>I10</x:v>
      </x:c>
      <x:c r="C53" s="107" t="str">
        <x:v>PowerCenter component connectivity</x:v>
      </x:c>
      <x:c r="D53" s="107" t="str">
        <x:v>https://docs.informatica.com/data-integration/common-content-for-data-integration/10-5-8/administrator-guide/appendix-c--informatica-platform-connectivity/powercenter-connectivity.html</x:v>
      </x:c>
      <x:c r="E53" s="107" t="str">
        <x:v>Official search-index evidence reviewed 12 Oct 2026. Local repository/integration/client connectivity and native/ODBC/JDBC roles. Selected release, source connectors and licenses still require confirmation.</x:v>
      </x:c>
    </x:row>
    <x:row r="54" ht="76" hidden="0" customHeight="1">
      <x:c r="B54" s="107" t="str">
        <x:v>C7</x:v>
      </x:c>
      <x:c r="C54" s="107" t="str">
        <x:v>Cloudera Manager health, alerts and logs</x:v>
      </x:c>
      <x:c r="D54" s="107" t="str">
        <x:v>https://docs.cloudera.com/cdp-private-cloud-base/7.1.9/monitoring-and-diagnostics/topics/cm-configuring-monitoring-settings.html</x:v>
      </x:c>
      <x:c r="E54" s="107" t="str">
        <x:v>Official search-index page reviewed 12 Oct 2026. Health tests, alerts, events and log configuration. Version 7.1.9 reference; validate exact offered release. Business report SLAs are not supplied by this feature.</x:v>
      </x:c>
    </x:row>
    <x:row r="55" ht="76" hidden="0" customHeight="1">
      <x:c r="B55" s="107" t="str">
        <x:v>B2</x:v>
      </x:c>
      <x:c r="C55" s="107" t="str">
        <x:v>Bank estate, reporting and operating facts</x:v>
      </x:c>
      <x:c r="D55" s="107" t="str">
        <x:v>Ortamlar hakkında (6 Sep 2026); Takasbank Genel Bilgilendirme (2 Sep 2026); Fiziksel Topoloji - Teknik Taraf (4 Sep 2026); Sistemler ve Servisler</x:v>
      </x:c>
      <x:c r="E55" s="107" t="str">
        <x:v>Repository notes read 12 Oct 2026. Oracle/Exadata estate, late updates, manual EOD, TDM-only license statement and reporting migration. Capacity/timelines/team skills require bank confirmation; architectural opinions are not product evidence.</x:v>
      </x:c>
    </x:row>
    <x:row r="56" ht="76" hidden="0" customHeight="1">
      <x:c r="B56" s="107" t="str">
        <x:v>B3</x:v>
      </x:c>
      <x:c r="C56" s="107" t="str">
        <x:v>Operational-reporting source examples</x:v>
      </x:c>
      <x:c r="D56" s="107" t="str">
        <x:v>Takasbank / Toplantı Notları / Banka Ug.md; Enerji UG.md</x:v>
      </x:c>
      <x:c r="E56" s="107" t="str">
        <x:v>Repository notes read 12 Oct 2026. SWIFT/EFT history and nightly summaries; real-time monitoring needs; energy web-service files, modest row volumes and complex SQL. No measured platform benchmark or agreed SLA.</x:v>
      </x:c>
    </x:row>
    <x:row r="57" ht="76" hidden="0" customHeight="1">
      <x:c r="B57" s="107" t="str">
        <x:v>B4</x:v>
      </x:c>
      <x:c r="C57" s="107" t="str">
        <x:v>Data ownership and sensitivity metadata</x:v>
      </x:c>
      <x:c r="D57" s="107" t="str">
        <x:v>Sistemler ve Servisler — section 5 PowerDesigner</x:v>
      </x:c>
      <x:c r="E57" s="107" t="str">
        <x:v>Repository note read 12 Oct 2026. Source ownership, sensitivity flags, descriptions/keys and maintenance of table/column inventory. Does not prove automatic lineage through ETL and MicroStrategy.</x:v>
      </x:c>
    </x:row>
    <x:row r="58" ht="76" hidden="0" customHeight="1">
      <x:c r="B58" s="107" t="str">
        <x:v>M1</x:v>
      </x:c>
      <x:c r="C58" s="107" t="str">
        <x:v>Assessment method and judgment</x:v>
      </x:c>
      <x:c r="D58" s="107" t="str">
        <x:v>Scorecard; Comparison sections 03–10, 12–15</x:v>
      </x:c>
      <x:c r="E58" s="107" t="str">
        <x:v>Architect desk assessment, 12 Oct 2026. Nine ratings per candidate; cost excluded pending quotes. Ratings/shortlist are judgment, not vendor-certified scores, measured speed, bank acceptance or legal opinion.</x:v>
      </x:c>
    </x:row>
    <x:row r="59" ht="76" hidden="0" customHeight="1">
      <x:c r="B59" s="107" t="str">
        <x:v>I11</x:v>
      </x:c>
      <x:c r="C59" s="107" t="str">
        <x:v>PowerCenter Command task</x:v>
      </x:c>
      <x:c r="D59" s="107" t="str">
        <x:v>https://docs.informatica.com/content/dam/source/GUID-7/GUID-7D547585-D0CF-4692-9CB1-9AEF344711E5/30/en/PC_102HF2_WorkflowBasicsGuide_en.pdf</x:v>
      </x:c>
      <x:c r="E59" s="107" t="str">
        <x:v>Official search-index excerpt reviewed 12 Oct 2026. Command tasks execute shell scripts in the Integration Service environment. Older 10.2 HF2 evidence: validate the selected 10.5.x offer; local AI is a proposed integration, not a native copilot.</x:v>
      </x:c>
    </x:row>
    <x:row r="60" ht="76" hidden="0" customHeight="1">
      <x:c r="B60" s="107" t="str">
        <x:v>I12</x:v>
      </x:c>
      <x:c r="C60" s="107" t="str">
        <x:v>PowerCenter Type 2 dimension mappings</x:v>
      </x:c>
      <x:c r="D60" s="107" t="str">
        <x:v>https://docs.informatica.com/content/dam/source/GUID-B/GUID-B54ED1F4-60B8-4F11-8E22-48C4BECE109A/25/en/PC_102HF2_DesignerGuide_en.pdf</x:v>
      </x:c>
      <x:c r="E60" s="107" t="str">
        <x:v>Official search-index evidence reviewed 12 Oct 2026. Type 2 version, current-flag and effective-date mapping patterns. Older 10.2 HF2 source; confirm 10.5.x behavior. Does not establish business-effective correction handling automatically.</x:v>
      </x:c>
    </x:row>
    <x:row r="61" ht="76" hidden="0" customHeight="1">
      <x:c r="B61" s="107" t="str">
        <x:v>I13</x:v>
      </x:c>
      <x:c r="C61" s="107" t="str">
        <x:v>PowerCenter repository version-control entitlement</x:v>
      </x:c>
      <x:c r="D61" s="107" t="str">
        <x:v>https://docs.informatica.com/data-engineering/data-engineering-integration/10-5-8/installation-for-data-engineering/part-4--after-you-install-the-services/create-and-configure-application-services/create-the-powercenter-repository-service/create-the-powercenter-repository-service.html</x:v>
      </x:c>
      <x:c r="E61" s="107" t="str">
        <x:v>Official search-index excerpt reviewed 12 Oct 2026. Version control depends on the team-based-development license option. This is repository versioning, not evidence of native Git semantic merging.</x:v>
      </x:c>
    </x:row>
    <x:row r="62" ht="76" hidden="0" customHeight="1">
      <x:c r="B62" s="107" t="str">
        <x:v>A6</x:v>
      </x:c>
      <x:c r="C62" s="107" t="str">
        <x:v>CLAIRE GPT in IDMC release management</x:v>
      </x:c>
      <x:c r="D62" s="107" t="str">
        <x:v>https://docs.informatica.com/content/dam/source/resources/inDesign/1772_IDMC_ReleaseReadiness_H2L_082025/1772_IDMC_ReleaseReadiness_H2L_082025.pdf</x:v>
      </x:c>
      <x:c r="E62" s="107" t="str">
        <x:v>Official search-index evidence reviewed 12 Oct 2026. CLAIRE GPT appears within IDMC service release/upgrade scope. Corroborates cloud scope; it does not establish any local PowerCenter assistant entitlement.</x:v>
      </x:c>
    </x:row>
  </x:sheetData>
  <x:pageMargins left="0.7" right="0.7" top="0.75" bottom="0.75" header="0.3" footer="0.3"/>
</x:worksheet>
</file>