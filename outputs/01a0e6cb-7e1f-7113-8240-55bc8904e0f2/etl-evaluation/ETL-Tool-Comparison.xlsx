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3e6b25cc9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e658056bb59e4879"/>
    <x:sheet xmlns:r="http://schemas.openxmlformats.org/officeDocument/2006/relationships" name="Comparison" sheetId="2" r:id="R049448dbb8df44a1"/>
    <x:sheet xmlns:r="http://schemas.openxmlformats.org/officeDocument/2006/relationships" name="Sources" sheetId="3" r:id="Ra5f76c14e2cf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sz val="11"/>
      <x:color rgb="FF172B4D"/>
      <x:name val="Arial"/>
    </x:font>
    <x:font>
      <x:b/>
      <x:sz val="16"/>
      <x:color rgb="FF172B4D"/>
      <x:name val="Arial"/>
    </x:font>
    <x:font>
      <x:b/>
      <x:sz val="11"/>
      <x:color rgb="FFFFFFFF"/>
      <x:name val="Arial"/>
    </x:font>
    <x:font>
      <x:b/>
      <x:sz val="14"/>
      <x:color rgb="FF172B4D"/>
      <x:name val="Arial"/>
    </x:font>
    <x:font>
      <x:b/>
      <x:sz val="11"/>
      <x:color rgb="FF172B4D"/>
      <x:name val="Arial"/>
    </x:font>
    <x:font>
      <x:sz val="10"/>
      <x:color rgb="FF51647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858"/>
      </x:patternFill>
    </x:fill>
    <x:fill>
      <x:patternFill patternType="solid">
        <x:fgColor rgb="FFFFF3CC"/>
      </x:patternFill>
    </x:fill>
    <x:fill>
      <x:patternFill patternType="solid">
        <x:fgColor rgb="FFF0F3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B1C1C"/>
      </x:font>
      <x:fill>
        <x:patternFill patternType="solid">
          <x:bgColor rgb="FFFDE7E7"/>
        </x:patternFill>
      </x:fill>
    </x:dxf>
    <x:dxf>
      <x:font>
        <x:color rgb="FF9B1C1C"/>
      </x:font>
      <x:fill>
        <x:patternFill patternType="solid">
          <x:bgColor rgb="FFFDE7E7"/>
        </x:patternFill>
      </x:fill>
    </x:dxf>
    <x:dxf>
      <x:font>
        <x:color rgb="FF9B1C1C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840318d4845d0" /><Relationship Type="http://schemas.openxmlformats.org/officeDocument/2006/relationships/theme" Target="/xl/theme/theme1.xml" Id="Rbda98318fe994a9a" /><Relationship Type="http://schemas.openxmlformats.org/officeDocument/2006/relationships/sharedStrings" Target="/xl/sharedStrings.xml" Id="Rf79ba3f5cd094ea1" /><Relationship Type="http://schemas.openxmlformats.org/officeDocument/2006/relationships/worksheet" Target="/xl/worksheets/sheet1.xml" Id="Re658056bb59e4879" /><Relationship Type="http://schemas.openxmlformats.org/officeDocument/2006/relationships/worksheet" Target="/xl/worksheets/sheet2.xml" Id="R049448dbb8df44a1" /><Relationship Type="http://schemas.openxmlformats.org/officeDocument/2006/relationships/worksheet" Target="/xl/worksheets/sheet3.xml" Id="Ra5f76c14e2cf4b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858"/>
  </x:sheetPr>
  <x:sheetViews>
    <x:sheetView showGridLines="0" workbookViewId="0"/>
  </x:sheetViews>
  <x:sheetFormatPr defaultRowHeight="15"/>
  <x:cols>
    <x:col min="1" max="1" width="3" hidden="0" customWidth="1"/>
    <x:col min="2" max="2" width="53" hidden="0" customWidth="1"/>
    <x:col min="3" max="3" width="11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2"/>
      <x:c r="B2" s="3" t="str">
        <x:v>ETL tool evaluation</x:v>
      </x:c>
      <x:c r="C2" s="2"/>
      <x:c r="D2" s="2"/>
      <x:c r="E2" s="2"/>
      <x:c r="F2" s="2"/>
      <x:c r="G2" s="2"/>
      <x:c r="H2" s="2"/>
    </x:row>
    <x:row r="3" ht="24" customHeight="1">
      <x:c r="A3" s="2"/>
      <x:c r="B3" s="2" t="str">
        <x:v>10 sections: scope and mandatory requirements + 8 weighted criteria. Details are on the Comparison sheet.</x:v>
      </x:c>
      <x:c r="C3" s="2"/>
      <x:c r="D3" s="2"/>
      <x:c r="E3" s="2"/>
      <x:c r="F3" s="2"/>
      <x:c r="G3" s="2"/>
      <x:c r="H3" s="2"/>
    </x:row>
    <x:row r="4" ht="24" customHeight="1">
      <x:c r="A4" s="2"/>
      <x:c r="B4" s="2" t="str">
        <x:v>Amber cells are inputs. 0: does not meet · 1: major gaps · 2: partial · 3: meets · 4: strong · 5: excellent</x:v>
      </x:c>
      <x:c r="C4" s="2"/>
      <x:c r="D4" s="2"/>
      <x:c r="E4" s="2"/>
      <x:c r="F4" s="2"/>
      <x:c r="G4" s="2"/>
      <x:c r="H4" s="2"/>
    </x:row>
    <x:row r="5" ht="24" customHeight="1">
      <x:c r="A5" s="2"/>
      <x:c r="B5" s="2" t="str">
        <x:v>Proposed weights must total 100%. Score = Σ(weight × rating) / 5. Blank means unassessed.</x:v>
      </x:c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40" customHeight="1">
      <x:c r="A7" s="2"/>
      <x:c r="B7" s="7" t="str">
        <x:v>Result</x:v>
      </x:c>
      <x:c r="C7" s="7" t="str"/>
      <x:c r="D7" s="7" t="str">
        <x:v>Informatica
PowerCenter</x:v>
      </x:c>
      <x:c r="E7" s="7" t="str">
        <x:v>Oracle ODI</x:v>
      </x:c>
      <x:c r="F7" s="7" t="str">
        <x:v>dbt Core v1
+ Oracle</x:v>
      </x:c>
      <x:c r="G7" s="7" t="str">
        <x:v>Cloudera
(on premises)</x:v>
      </x:c>
      <x:c r="H7" s="7" t="str">
        <x:v>Apache Spark
(on premises)</x:v>
      </x:c>
    </x:row>
    <x:row r="8" ht="32" customHeight="1">
      <x:c r="A8" s="2"/>
      <x:c r="B8" s="2" t="str">
        <x:v>Weighted score / 100</x:v>
      </x:c>
      <x:c r="C8" s="2"/>
      <x:c r="D8" s="9" t="str">
        <x:f>IF(AND(COUNT($C$13:$C$20)=8,$C$21=100,MIN($C$13:$C$20)&gt;=0,COUNT(D13:D20)=8,MIN(D13:D20)&gt;=0,MAX(D13:D20)&lt;=5,D29&lt;&gt;""),SUMPRODUCT($C$13:$C$20,D13:D20)/5,"")</x:f>
      </x:c>
      <x:c r="E8" s="9" t="str">
        <x:f>IF(AND(COUNT($C$13:$C$20)=8,$C$21=100,MIN($C$13:$C$20)&gt;=0,COUNT(E13:E20)=8,MIN(E13:E20)&gt;=0,MAX(E13:E20)&lt;=5,E29&lt;&gt;""),SUMPRODUCT($C$13:$C$20,E13:E20)/5,"")</x:f>
      </x:c>
      <x:c r="F8" s="9" t="str">
        <x:f>IF(AND(COUNT($C$13:$C$20)=8,$C$21=100,MIN($C$13:$C$20)&gt;=0,COUNT(F13:F20)=8,MIN(F13:F20)&gt;=0,MAX(F13:F20)&lt;=5,F29&lt;&gt;""),SUMPRODUCT($C$13:$C$20,F13:F20)/5,"")</x:f>
      </x:c>
      <x:c r="G8" s="9" t="str">
        <x:f>IF(AND(COUNT($C$13:$C$20)=8,$C$21=100,MIN($C$13:$C$20)&gt;=0,COUNT(G13:G20)=8,MIN(G13:G20)&gt;=0,MAX(G13:G20)&lt;=5,G29&lt;&gt;""),SUMPRODUCT($C$13:$C$20,G13:G20)/5,"")</x:f>
      </x:c>
      <x:c r="H8" s="9" t="str">
        <x:f>IF(AND(COUNT($C$13:$C$20)=8,$C$21=100,MIN($C$13:$C$20)&gt;=0,COUNT(H13:H20)=8,MIN(H13:H20)&gt;=0,MAX(H13:H20)&lt;=5,H29&lt;&gt;""),SUMPRODUCT($C$13:$C$20,H13:H20)/5,"")</x:f>
      </x:c>
    </x:row>
    <x:row r="9" ht="32" customHeight="1">
      <x:c r="A9" s="2"/>
      <x:c r="B9" s="2" t="str">
        <x:v>Evaluation status</x:v>
      </x:c>
      <x:c r="C9" s="2"/>
      <x:c r="D9" s="10" t="str">
        <x:f>IF(COUNTIFS(D24:D26,"Fail")&gt;0,"Excluded",IF(OR(COUNTIFS(D24:D26,"Pass")&lt;&gt;3,D30=""),"Gates pending",IF(ISNUMBER(D8),"Ready to compare","Rating / evidence missing")))</x:f>
        <x:v>Gates pending</x:v>
      </x:c>
      <x:c r="E9" s="10" t="str">
        <x:f>IF(COUNTIFS(E24:E26,"Fail")&gt;0,"Excluded",IF(OR(COUNTIFS(E24:E26,"Pass")&lt;&gt;3,E30=""),"Gates pending",IF(ISNUMBER(E8),"Ready to compare","Rating / evidence missing")))</x:f>
        <x:v>Gates pending</x:v>
      </x:c>
      <x:c r="F9" s="10" t="str">
        <x:f>IF(COUNTIFS(F24:F26,"Fail")&gt;0,"Excluded",IF(OR(COUNTIFS(F24:F26,"Pass")&lt;&gt;3,F30=""),"Gates pending",IF(ISNUMBER(F8),"Ready to compare","Rating / evidence missing")))</x:f>
        <x:v>Gates pending</x:v>
      </x:c>
      <x:c r="G9" s="10" t="str">
        <x:f>IF(COUNTIFS(G24:G26,"Fail")&gt;0,"Excluded",IF(OR(COUNTIFS(G24:G26,"Pass")&lt;&gt;3,G30=""),"Gates pending",IF(ISNUMBER(G8),"Ready to compare","Rating / evidence missing")))</x:f>
        <x:v>Gates pending</x:v>
      </x:c>
      <x:c r="H9" s="10" t="str">
        <x:f>IF(COUNTIFS(H24:H26,"Fail")&gt;0,"Excluded",IF(OR(COUNTIFS(H24:H26,"Pass")&lt;&gt;3,H30=""),"Gates pending",IF(ISNUMBER(H8),"Ready to compare","Rating / evidence missing")))</x:f>
        <x:v>Gates pending</x:v>
      </x:c>
    </x:row>
    <x:row r="10" ht="32" customHeight="1">
      <x:c r="A10" s="2"/>
      <x:c r="B10" s="2" t="str">
        <x:v>Ratings entered / 8</x:v>
      </x:c>
      <x:c r="C10" s="2"/>
      <x:c r="D10" s="2" t="n">
        <x:f>COUNT(D13:D20)</x:f>
        <x:v>0</x:v>
      </x:c>
      <x:c r="E10" s="2" t="n">
        <x:f>COUNT(E13:E20)</x:f>
        <x:v>0</x:v>
      </x:c>
      <x:c r="F10" s="2" t="n">
        <x:f>COUNT(F13:F20)</x:f>
        <x:v>0</x:v>
      </x:c>
      <x:c r="G10" s="2" t="n">
        <x:f>COUNT(G13:G20)</x:f>
        <x:v>0</x:v>
      </x:c>
      <x:c r="H10" s="2" t="n">
        <x:f>COUNT(H13:H20)</x:f>
        <x:v>0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40" customHeight="1">
      <x:c r="A12" s="2"/>
      <x:c r="B12" s="7" t="str">
        <x:v>Section / criterion</x:v>
      </x:c>
      <x:c r="C12" s="7" t="str">
        <x:v>Weight %</x:v>
      </x:c>
      <x:c r="D12" s="7" t="str">
        <x:v>Informatica
PowerCenter</x:v>
      </x:c>
      <x:c r="E12" s="7" t="str">
        <x:v>Oracle ODI</x:v>
      </x:c>
      <x:c r="F12" s="7" t="str">
        <x:v>dbt Core v1
+ Oracle</x:v>
      </x:c>
      <x:c r="G12" s="7" t="str">
        <x:v>Cloudera
(on premises)</x:v>
      </x:c>
      <x:c r="H12" s="7" t="str">
        <x:v>Apache Spark
(on premises)</x:v>
      </x:c>
    </x:row>
    <x:row r="13" ht="39" customHeight="1">
      <x:c r="A13" s="2"/>
      <x:c r="B13" s="10" t="str">
        <x:v>03  Source integration and data movement</x:v>
      </x:c>
      <x:c r="C13" s="11" t="n">
        <x:v>11</x:v>
      </x:c>
      <x:c r="D13" s="12"/>
      <x:c r="E13" s="12"/>
      <x:c r="F13" s="12"/>
      <x:c r="G13" s="12"/>
      <x:c r="H13" s="12"/>
    </x:row>
    <x:row r="14" ht="39" customHeight="1">
      <x:c r="A14" s="2"/>
      <x:c r="B14" s="10" t="str">
        <x:v>04  Transformation and Exadata efficiency</x:v>
      </x:c>
      <x:c r="C14" s="11" t="n">
        <x:v>13</x:v>
      </x:c>
      <x:c r="D14" s="12"/>
      <x:c r="E14" s="12"/>
      <x:c r="F14" s="12"/>
      <x:c r="G14" s="12"/>
      <x:c r="H14" s="12"/>
    </x:row>
    <x:row r="15" ht="39" customHeight="1">
      <x:c r="A15" s="2"/>
      <x:c r="B15" s="10" t="str">
        <x:v>05  Data correctness, history and reconciliation</x:v>
      </x:c>
      <x:c r="C15" s="11" t="n">
        <x:v>20</x:v>
      </x:c>
      <x:c r="D15" s="12"/>
      <x:c r="E15" s="12"/>
      <x:c r="F15" s="12"/>
      <x:c r="G15" s="12"/>
      <x:c r="H15" s="12"/>
    </x:row>
    <x:row r="16" ht="39" customHeight="1">
      <x:c r="A16" s="2"/>
      <x:c r="B16" s="10" t="str">
        <x:v>06  Scheduling, operational reporting and recovery</x:v>
      </x:c>
      <x:c r="C16" s="11" t="n">
        <x:v>12</x:v>
      </x:c>
      <x:c r="D16" s="12"/>
      <x:c r="E16" s="12"/>
      <x:c r="F16" s="12"/>
      <x:c r="G16" s="12"/>
      <x:c r="H16" s="12"/>
    </x:row>
    <x:row r="17" ht="39" customHeight="1">
      <x:c r="A17" s="2"/>
      <x:c r="B17" s="10" t="str">
        <x:v>07  Security, metadata and auditability</x:v>
      </x:c>
      <x:c r="C17" s="11" t="n">
        <x:v>16</x:v>
      </x:c>
      <x:c r="D17" s="12"/>
      <x:c r="E17" s="12"/>
      <x:c r="F17" s="12"/>
      <x:c r="G17" s="12"/>
      <x:c r="H17" s="12"/>
    </x:row>
    <x:row r="18" ht="39" customHeight="1">
      <x:c r="A18" s="2"/>
      <x:c r="B18" s="10" t="str">
        <x:v>08  Development, testing and change management</x:v>
      </x:c>
      <x:c r="C18" s="11" t="n">
        <x:v>7</x:v>
      </x:c>
      <x:c r="D18" s="12"/>
      <x:c r="E18" s="12"/>
      <x:c r="F18" s="12"/>
      <x:c r="G18" s="12"/>
      <x:c r="H18" s="12"/>
    </x:row>
    <x:row r="19" ht="39" customHeight="1">
      <x:c r="A19" s="2"/>
      <x:c r="B19" s="10" t="str">
        <x:v>09  Operating model, support and lifecycle</x:v>
      </x:c>
      <x:c r="C19" s="11" t="n">
        <x:v>11</x:v>
      </x:c>
      <x:c r="D19" s="12"/>
      <x:c r="E19" s="12"/>
      <x:c r="F19" s="12"/>
      <x:c r="G19" s="12"/>
      <x:c r="H19" s="12"/>
    </x:row>
    <x:row r="20" ht="39" customHeight="1">
      <x:c r="A20" s="2"/>
      <x:c r="B20" s="10" t="str">
        <x:v>10  Five-year cost and exit effort</x:v>
      </x:c>
      <x:c r="C20" s="11" t="n">
        <x:v>10</x:v>
      </x:c>
      <x:c r="D20" s="12"/>
      <x:c r="E20" s="12"/>
      <x:c r="F20" s="12"/>
      <x:c r="G20" s="12"/>
      <x:c r="H20" s="12"/>
    </x:row>
    <x:row r="21" ht="24" customHeight="1">
      <x:c r="A21" s="2"/>
      <x:c r="B21" s="2" t="str">
        <x:v>Total weight</x:v>
      </x:c>
      <x:c r="C21" s="2" t="n">
        <x:f>SUM(C13:C20)</x:f>
        <x:v>100</x:v>
      </x:c>
      <x:c r="D21" s="2"/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40" customHeight="1">
      <x:c r="A23" s="2"/>
      <x:c r="B23" s="7" t="str">
        <x:v>02  Mandatory requirement groups</x:v>
      </x:c>
      <x:c r="C23" s="7" t="str"/>
      <x:c r="D23" s="7" t="str">
        <x:v>Informatica
PowerCenter</x:v>
      </x:c>
      <x:c r="E23" s="7" t="str">
        <x:v>Oracle ODI</x:v>
      </x:c>
      <x:c r="F23" s="7" t="str">
        <x:v>dbt Core v1
+ Oracle</x:v>
      </x:c>
      <x:c r="G23" s="7" t="str">
        <x:v>Cloudera
(on premises)</x:v>
      </x:c>
      <x:c r="H23" s="7" t="str">
        <x:v>Apache Spark
(on premises)</x:v>
      </x:c>
    </x:row>
    <x:row r="24" ht="32" customHeight="1">
      <x:c r="A24" s="2"/>
      <x:c r="B24" s="2" t="str">
        <x:v>Fully on-premises operation</x:v>
      </x:c>
      <x:c r="C24" s="2"/>
      <x:c r="D24" s="11" t="str">
        <x:v>Pending</x:v>
      </x:c>
      <x:c r="E24" s="11" t="str">
        <x:v>Pending</x:v>
      </x:c>
      <x:c r="F24" s="11" t="str">
        <x:v>Pending</x:v>
      </x:c>
      <x:c r="G24" s="11" t="str">
        <x:v>Pending</x:v>
      </x:c>
      <x:c r="H24" s="11" t="str">
        <x:v>Pending</x:v>
      </x:c>
    </x:row>
    <x:row r="25" ht="32" customHeight="1">
      <x:c r="A25" s="2"/>
      <x:c r="B25" s="2" t="str">
        <x:v>Security, support and operating acceptance</x:v>
      </x:c>
      <x:c r="C25" s="2"/>
      <x:c r="D25" s="11" t="str">
        <x:v>Pending</x:v>
      </x:c>
      <x:c r="E25" s="11" t="str">
        <x:v>Pending</x:v>
      </x:c>
      <x:c r="F25" s="11" t="str">
        <x:v>Pending</x:v>
      </x:c>
      <x:c r="G25" s="11" t="str">
        <x:v>Pending</x:v>
      </x:c>
      <x:c r="H25" s="11" t="str">
        <x:v>Pending</x:v>
      </x:c>
    </x:row>
    <x:row r="26" ht="32" customHeight="1">
      <x:c r="A26" s="2"/>
      <x:c r="B26" s="2" t="str">
        <x:v>Correctness, deadlines and recovery tests</x:v>
      </x:c>
      <x:c r="C26" s="2"/>
      <x:c r="D26" s="11" t="str">
        <x:v>Pending</x:v>
      </x:c>
      <x:c r="E26" s="11" t="str">
        <x:v>Pending</x:v>
      </x:c>
      <x:c r="F26" s="11" t="str">
        <x:v>Pending</x:v>
      </x:c>
      <x:c r="G26" s="11" t="str">
        <x:v>Pending</x:v>
      </x:c>
      <x:c r="H26" s="11" t="str">
        <x:v>Pending</x:v>
      </x:c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13" t="str">
        <x:v>Evidence records</x:v>
      </x:c>
      <x:c r="C28" s="2"/>
      <x:c r="D28" s="2"/>
      <x:c r="E28" s="2"/>
      <x:c r="F28" s="2"/>
      <x:c r="G28" s="2"/>
      <x:c r="H28" s="2"/>
    </x:row>
    <x:row r="29" ht="46" customHeight="1">
      <x:c r="A29" s="2"/>
      <x:c r="B29" s="2" t="str">
        <x:v>Rationale for 8 ratings / test / cost record</x:v>
      </x:c>
      <x:c r="C29" s="2"/>
      <x:c r="D29" s="14"/>
      <x:c r="E29" s="14"/>
      <x:c r="F29" s="14"/>
      <x:c r="G29" s="14"/>
      <x:c r="H29" s="14"/>
    </x:row>
    <x:row r="30" ht="46" customHeight="1">
      <x:c r="A30" s="2"/>
      <x:c r="B30" s="2" t="str">
        <x:v>Gate approvals: reference / approver / date</x:v>
      </x:c>
      <x:c r="C30" s="2"/>
      <x:c r="D30" s="14"/>
      <x:c r="E30" s="14"/>
      <x:c r="F30" s="14"/>
      <x:c r="G30" s="14"/>
      <x:c r="H30" s="14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 t="str">
        <x:v>One evidence record per candidate: results for all 8 criteria, test references and comparable five-year costs.</x:v>
      </x:c>
      <x:c r="C32" s="2"/>
      <x:c r="D32" s="2"/>
      <x:c r="E32" s="2"/>
      <x:c r="F32" s="2"/>
      <x:c r="G32" s="2"/>
      <x:c r="H32" s="2"/>
    </x:row>
    <x:row r="33" ht="24" customHeight="1">
      <x:c r="A33" s="2"/>
      <x:c r="B33" s="2" t="str">
        <x:v>A failed gate excludes the candidate. Complete gates and ratings enable comparison; this is not production approval.</x:v>
      </x:c>
      <x:c r="C33" s="2"/>
      <x:c r="D33" s="2"/>
      <x:c r="E33" s="2"/>
      <x:c r="F33" s="2"/>
      <x:c r="G33" s="2"/>
      <x:c r="H33" s="2"/>
    </x:row>
    <x:row r="34" ht="24" customHeight="1">
      <x:c r="A34" s="2"/>
      <x:c r="B34" s="2" t="str">
        <x:v>Excel does not validate evidence content. The local boundary covers runtime, management, metadata and logs.</x:v>
      </x:c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 t="str">
        <x:v>Weights derive from the original 12 criteria: 03=C02+C10; 04=C01; 05=C03+C04; 06=C05;</x:v>
      </x:c>
      <x:c r="C36" s="2"/>
      <x:c r="D36" s="2"/>
      <x:c r="E36" s="2"/>
      <x:c r="F36" s="2"/>
      <x:c r="G36" s="2"/>
      <x:c r="H36" s="2"/>
    </x:row>
    <x:row r="37" ht="24" customHeight="1">
      <x:c r="A37" s="2"/>
      <x:c r="B37" s="2" t="str">
        <x:v>07=C06+C07; 08=C08; 09=C09+C11; 10=C12. Sections 01 and 02 are outside the weighted total.</x:v>
      </x:c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</x:sheetData>
  <x:conditionalFormatting sqref="C21:C21">
    <x:cfRule type="expression" dxfId="0" priority="1">
      <x:formula>C21&lt;&gt;100</x:formula>
    </x:cfRule>
  </x:conditionalFormatting>
  <x:conditionalFormatting sqref="D24:H26">
    <x:cfRule type="cellIs" dxfId="1" priority="2" operator="equal">
      <x:formula>"Fail"</x:formula>
    </x:cfRule>
  </x:conditionalFormatting>
  <x:conditionalFormatting sqref="D9:H9">
    <x:cfRule type="cellIs" dxfId="2" priority="3" operator="equal">
      <x:formula>"Excluded"</x:formula>
    </x:cfRule>
  </x:conditionalFormatting>
  <x:dataValidations count="3">
    <x:dataValidation type="decimal" operator="between" sqref="D13:H20">
      <x:formula1>0</x:formula1>
      <x:formula2>5</x:formula2>
    </x:dataValidation>
    <x:dataValidation type="whole" operator="between" sqref="C13:C20">
      <x:formula1>0</x:formula1>
      <x:formula2>100</x:formula2>
    </x:dataValidation>
    <x:dataValidation type="list" sqref="D24:H26">
      <x:formula1>"Pending,Pass,Fail"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RowHeight="15"/>
  <x:cols>
    <x:col min="1" max="1" width="3" hidden="0" customWidth="1"/>
    <x:col min="2" max="2" width="25" hidden="0" customWidth="1"/>
    <x:col min="3" max="3" width="39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"/>
      <x:c r="B2" s="3" t="str">
        <x:v>Detailed comparison of five solutions</x:v>
      </x:c>
      <x:c r="C2" s="2"/>
      <x:c r="D2" s="2"/>
      <x:c r="E2" s="2"/>
      <x:c r="F2" s="2"/>
      <x:c r="G2" s="2"/>
    </x:row>
    <x:row r="3" ht="24" customHeight="1">
      <x:c r="A3" s="2"/>
      <x:c r="B3" s="2" t="str">
        <x:v>Product descriptions draw on documentation; bank implications are architectural assessments. Add-ons are not assumed included.</x:v>
      </x:c>
      <x:c r="C3" s="2"/>
      <x:c r="D3" s="2"/>
      <x:c r="E3" s="2"/>
      <x:c r="F3" s="2"/>
      <x:c r="G3" s="2"/>
    </x:row>
    <x:row r="4" ht="24" customHeight="1">
      <x:c r="A4" s="2"/>
      <x:c r="B4" s="2" t="str">
        <x:v>12 October 2026 • Source IDs are on Sources. Exact versions, licenses, prices and acceptance remain unconfirmed.</x:v>
      </x:c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29" customHeight="1">
      <x:c r="A6" s="2"/>
      <x:c r="B6" s="15" t="str">
        <x:v>01  Solution scope and architecture  — not scored</x:v>
      </x:c>
      <x:c r="C6" s="2"/>
      <x:c r="D6" s="2"/>
      <x:c r="E6" s="2"/>
      <x:c r="F6" s="2"/>
      <x:c r="G6" s="2"/>
    </x:row>
    <x:row r="7" ht="27" customHeight="1">
      <x:c r="A7" s="2"/>
      <x:c r="B7" s="2" t="str">
        <x:v>Same target: an EDW and controlled reporting output on Oracle Exadata. Changing the target is a separate architecture decision.</x:v>
      </x:c>
      <x:c r="C7" s="2"/>
      <x:c r="D7" s="2"/>
      <x:c r="E7" s="2"/>
      <x:c r="F7" s="2"/>
      <x:c r="G7" s="2"/>
    </x:row>
    <x:row r="8" ht="40" customHeight="1">
      <x:c r="A8" s="2"/>
      <x:c r="B8" s="7" t="str">
        <x:v>Comparison dimension</x:v>
      </x:c>
      <x:c r="C8" s="7" t="str">
        <x:v>Informatica
PowerCenter</x:v>
      </x:c>
      <x:c r="D8" s="7" t="str">
        <x:v>Oracle ODI</x:v>
      </x:c>
      <x:c r="E8" s="7" t="str">
        <x:v>dbt Core v1
+ Oracle</x:v>
      </x:c>
      <x:c r="F8" s="7" t="str">
        <x:v>Cloudera
(on premises)</x:v>
      </x:c>
      <x:c r="G8" s="7" t="str">
        <x:v>Apache Spark
(on premises)</x:v>
      </x:c>
    </x:row>
    <x:row r="9" ht="85" customHeight="1">
      <x:c r="A9" s="2"/>
      <x:c r="B9" s="17" t="str">
        <x:v>Approach</x:v>
      </x:c>
      <x:c r="C9" s="16" t="str">
        <x:v>Local PowerCenter repository and Integration Service, with visual mappings and workflows. Assess both engine processing and SQL pushed to the database.</x:v>
      </x:c>
      <x:c r="D9" s="16" t="str">
        <x:v>Repositories, runtime agents and Knowledge Modules (KMs). The agent orchestrates code on source/target systems; execution location depends on mapping design.</x:v>
      </x:c>
      <x:c r="E9" s="16" t="str">
        <x:v>A local dbt Core v1 runner executes SQL models through the Oracle adapter. This candidate covers SQL transformation; ingestion is a separate service.</x:v>
      </x:c>
      <x:c r="F9" s="16" t="str">
        <x:v>An on-premises platform with explicitly selected releases and services. Assess Spark and data services within Base together with cluster management.</x:v>
      </x:c>
      <x:c r="G9" s="16" t="str">
        <x:v>A processing engine with driver and executor processes. Select a cluster manager, storage and surrounding services to assemble the complete solution.</x:v>
      </x:c>
    </x:row>
    <x:row r="10" ht="85" customHeight="1">
      <x:c r="A10" s="2"/>
      <x:c r="B10" s="17" t="str">
        <x:v>Dependencies and limits</x:v>
      </x:c>
      <x:c r="C10" s="16" t="str">
        <x:v>List required connectors, CDC, catalog, quality products and HA/DR separately. Do not assume the entire Informatica portfolio is included.</x:v>
      </x:c>
      <x:c r="D10" s="16" t="str">
        <x:v>List JDBC drivers, agent type, repository databases, relevant middleware and CDC. Do not assume GoldenGate licensing is included.</x:v>
      </x:c>
      <x:c r="E10" s="16" t="str">
        <x:v>Ingestion/CDC, scheduler, Git/CI, package repository, secrets, monitoring and support. Cloud services from the dbt platform are outside this candidate.</x:v>
      </x:c>
      <x:c r="F10" s="16" t="str">
        <x:v>Storage, security, catalog, ingestion flows and the return path to Oracle. Scope NiFi/Flow Management or Data Services separately if selected.</x:v>
      </x:c>
      <x:c r="G10" s="16" t="str">
        <x:v>Ingestion/CDC, scheduler, catalog, quality, security, metrics/logs, backup and support. None can be inferred from the Spark name alone.</x:v>
      </x:c>
    </x:row>
    <x:row r="11" ht="85" customHeight="1">
      <x:c r="A11" s="2"/>
      <x:c r="B11" s="17" t="str">
        <x:v>Bank implications (assessment)</x:v>
      </x:c>
      <x:c r="C11" s="16" t="str">
        <x:v>Could consolidate integration services within one product family. The offer must show how many products, licenses and specialist skills this requires.</x:v>
      </x:c>
      <x:c r="D11" s="16" t="str">
        <x:v>A directly comparable architecture for an Oracle-oriented target. A small agent server does not remove processing costs incurred in Oracle.</x:v>
      </x:c>
      <x:c r="E11" s="16" t="str">
        <x:v>Could use existing Oracle SQL skills. Missing ingestion and operational services must not become unacknowledged work for the development team.</x:v>
      </x:c>
      <x:c r="F11" s="16" t="str">
        <x:v>Requires a case for additional distributed storage/processing. Demonstrate the benefit of introducing a platform if the immediate scope is only ETL replacement.</x:v>
      </x:c>
      <x:c r="G11" s="16" t="str">
        <x:v>Offers architectural flexibility; assign ownership for component selection and the complete service. Assess cluster operations alongside data engineering.</x:v>
      </x:c>
    </x:row>
    <x:row r="12" ht="85" customHeight="1">
      <x:c r="A12" s="2"/>
      <x:c r="B12" s="17" t="str">
        <x:v>Evidence required</x:v>
      </x:c>
      <x:c r="C12" s="16" t="str">
        <x:v>A fully local product offer, component/license inventory, data-flow diagram and support scope.</x:v>
      </x:c>
      <x:c r="D12" s="16" t="str">
        <x:v>Agent/repository/KM inventory, physical execution locations, licensing and source/target connection diagram.</x:v>
      </x:c>
      <x:c r="E12" s="16" t="str">
        <x:v>Core, adapter, Python, driver and Oracle versions; components and owners from ingestion through report delivery.</x:v>
      </x:c>
      <x:c r="F12" s="16" t="str">
        <x:v>Base/Data Services/Flow Management scope, nodes, data copies and Oracle publication design.</x:v>
      </x:c>
      <x:c r="G12" s="16" t="str">
        <x:v>Version, owner and support provider for every component; production/test/DR topology and end-to-end accountability.</x:v>
      </x:c>
    </x:row>
    <x:row r="13" ht="33" customHeight="1">
      <x:c r="A13" s="2"/>
      <x:c r="B13" s="19" t="str">
        <x:v>Source IDs</x:v>
      </x:c>
      <x:c r="C13" s="19" t="str">
        <x:v>I1, I2, I3</x:v>
      </x:c>
      <x:c r="D13" s="19" t="str">
        <x:v>O1</x:v>
      </x:c>
      <x:c r="E13" s="19" t="str">
        <x:v>D1, D4</x:v>
      </x:c>
      <x:c r="F13" s="19" t="str">
        <x:v>C1, C3</x:v>
      </x:c>
      <x:c r="G13" s="19" t="str">
        <x:v>S1, S3</x:v>
      </x:c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9" customHeight="1">
      <x:c r="A15" s="2"/>
      <x:c r="B15" s="15" t="str">
        <x:v>02  Mandatory requirements  — not scored</x:v>
      </x:c>
      <x:c r="C15" s="2"/>
      <x:c r="D15" s="2"/>
      <x:c r="E15" s="2"/>
      <x:c r="F15" s="2"/>
      <x:c r="G15" s="2"/>
    </x:row>
    <x:row r="16" ht="27" customHeight="1">
      <x:c r="A16" s="2"/>
      <x:c r="B16" s="2" t="str">
        <x:v>Runtime, management, metadata and logs must remain on premises. Documentary compatibility does not replace bank acceptance tests.</x:v>
      </x:c>
      <x:c r="C16" s="2"/>
      <x:c r="D16" s="2"/>
      <x:c r="E16" s="2"/>
      <x:c r="F16" s="2"/>
      <x:c r="G16" s="2"/>
    </x:row>
    <x:row r="17" ht="40" customHeight="1">
      <x:c r="A17" s="2"/>
      <x:c r="B17" s="7" t="str">
        <x:v>Comparison dimension</x:v>
      </x:c>
      <x:c r="C17" s="7" t="str">
        <x:v>Informatica
PowerCenter</x:v>
      </x:c>
      <x:c r="D17" s="7" t="str">
        <x:v>Oracle ODI</x:v>
      </x:c>
      <x:c r="E17" s="7" t="str">
        <x:v>dbt Core v1
+ Oracle</x:v>
      </x:c>
      <x:c r="F17" s="7" t="str">
        <x:v>Cloudera
(on premises)</x:v>
      </x:c>
      <x:c r="G17" s="7" t="str">
        <x:v>Apache Spark
(on premises)</x:v>
      </x:c>
    </x:row>
    <x:row r="18" ht="85" customHeight="1">
      <x:c r="A18" s="2"/>
      <x:c r="B18" s="17" t="str">
        <x:v>Locality boundary</x:v>
      </x:c>
      <x:c r="C18" s="16" t="str">
        <x:v>Evaluate only a fully local PowerCenter offer. CDI-PC management connected to IDMC does not meet this boundary.</x:v>
      </x:c>
      <x:c r="D18" s="16" t="str">
        <x:v>Place repositories, agents, administration clients and dependent services on premises.</x:v>
      </x:c>
      <x:c r="E18" s="16" t="str">
        <x:v>Select local Core v1 and dependencies. Inspect usage statistics, package downloads, documentation hosting and CI connections.</x:v>
      </x:c>
      <x:c r="F18" s="16" t="str">
        <x:v>Inspect every service in the selected local release. Air-gap installation documentation does not prove all optional services remain local.</x:v>
      </x:c>
      <x:c r="G18" s="16" t="str">
        <x:v>Inspect external connections for the engine, cluster, scheduler, catalog, logs and monitoring components.</x:v>
      </x:c>
    </x:row>
    <x:row r="19" ht="85" customHeight="1">
      <x:c r="A19" s="2"/>
      <x:c r="B19" s="17" t="str">
        <x:v>Security, support and staffing</x:v>
      </x:c>
      <x:c r="C19" s="16" t="str">
        <x:v>Require written support and a local-product roadmap, least privilege, secrets management and a procedure for sending support packages.</x:v>
      </x:c>
      <x:c r="D19" s="16" t="str">
        <x:v>Require exact-release support, repository/agent administration, access separation and agreed responsibilities between DBA and ETL teams.</x:v>
      </x:c>
      <x:c r="E19" s="16" t="str">
        <x:v>Oracle maintaining the adapter is not a contractual support commitment. Require an acceptable support route for the full component set.</x:v>
      </x:c>
      <x:c r="F19" s="16" t="str">
        <x:v>Require support for the offered services, security configuration, a cluster team and named on-call/escalation responsibilities.</x:v>
      </x:c>
      <x:c r="G19" s="16" t="str">
        <x:v>Assign security maintenance, upgrades and incident support for every open-source component. The bank or a service provider must accept these responsibilities.</x:v>
      </x:c>
    </x:row>
    <x:row r="20" ht="85" customHeight="1">
      <x:c r="A20" s="2"/>
      <x:c r="B20" s="17" t="str">
        <x:v>Delivery conditions</x:v>
      </x:c>
      <x:c r="C20" s="16" t="str">
        <x:v>Accept correctness, source load, deadlines, recovery and controlled publication using bank data. A licensed recovery feature alone is insufficient.</x:v>
      </x:c>
      <x:c r="D20" s="16" t="str">
        <x:v>Prove correctness and reruns including transaction/commit boundaries. Prevent reports from seeing partially refreshed data.</x:v>
      </x:c>
      <x:c r="E20" s="16" t="str">
        <x:v>Accept ingestion, testing, publication and recovery as well as successful dbt execution. Transformation success is not complete service success.</x:v>
      </x:c>
      <x:c r="F20" s="16" t="str">
        <x:v>Test the cluster and Oracle target together. Platform availability alone does not establish correct transfer or report delivery.</x:v>
      </x:c>
      <x:c r="G20" s="16" t="str">
        <x:v>Test source, checkpoints/intermediate data, target writes and replay together. Task retries must not duplicate business publication.</x:v>
      </x:c>
    </x:row>
    <x:row r="21" ht="85" customHeight="1">
      <x:c r="A21" s="2"/>
      <x:c r="B21" s="17" t="str">
        <x:v>Acceptance evidence</x:v>
      </x:c>
      <x:c r="C21" s="16" t="str">
        <x:v>Installation, execution and recovery with external network access blocked; network records, written support and business/security/service approvals.</x:v>
      </x:c>
      <x:c r="D21" s="16" t="str">
        <x:v>Execution with external access blocked, source-load testing, repository/agent recovery and business/security/service approvals.</x:v>
      </x:c>
      <x:c r="E21" s="16" t="str">
        <x:v>Telemetry/dependency access checks, rebuild from local packages, Oracle compatibility testing and written service acceptance.</x:v>
      </x:c>
      <x:c r="F21" s="16" t="str">
        <x:v>Disconnected operation of the exact product bundle, service dependency inventory, security and data-delivery tests.</x:v>
      </x:c>
      <x:c r="G21" s="16" t="str">
        <x:v>Egress testing of all components, security review, rebuild testing and evidence of delivery without loss or duplicates.</x:v>
      </x:c>
    </x:row>
    <x:row r="22" ht="33" customHeight="1">
      <x:c r="A22" s="2"/>
      <x:c r="B22" s="19" t="str">
        <x:v>Source IDs</x:v>
      </x:c>
      <x:c r="C22" s="19" t="str">
        <x:v>I3, I2</x:v>
      </x:c>
      <x:c r="D22" s="19" t="str">
        <x:v>O1, O2</x:v>
      </x:c>
      <x:c r="E22" s="19" t="str">
        <x:v>D1, D5</x:v>
      </x:c>
      <x:c r="F22" s="19" t="str">
        <x:v>C1, C2</x:v>
      </x:c>
      <x:c r="G22" s="19" t="str">
        <x:v>S2, S3</x:v>
      </x:c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9" customHeight="1">
      <x:c r="A24" s="2"/>
      <x:c r="B24" s="15" t="str">
        <x:v>03  Source integration and data movement</x:v>
      </x:c>
      <x:c r="C24" s="2"/>
      <x:c r="D24" s="2"/>
      <x:c r="E24" s="2"/>
      <x:c r="F24" s="2"/>
      <x:c r="G24" s="2"/>
    </x:row>
    <x:row r="25" ht="27" customHeight="1">
      <x:c r="A25" s="2"/>
      <x:c r="B25" s="2" t="str">
        <x:v>Consistent initial loads, change capture and source protection for Oracle, files and required API flows.</x:v>
      </x:c>
      <x:c r="C25" s="2"/>
      <x:c r="D25" s="2"/>
      <x:c r="E25" s="2"/>
      <x:c r="F25" s="2"/>
      <x:c r="G25" s="2"/>
    </x:row>
    <x:row r="26" ht="40" customHeight="1">
      <x:c r="A26" s="2"/>
      <x:c r="B26" s="7" t="str">
        <x:v>Comparison dimension</x:v>
      </x:c>
      <x:c r="C26" s="7" t="str">
        <x:v>Informatica
PowerCenter</x:v>
      </x:c>
      <x:c r="D26" s="7" t="str">
        <x:v>Oracle ODI</x:v>
      </x:c>
      <x:c r="E26" s="7" t="str">
        <x:v>dbt Core v1
+ Oracle</x:v>
      </x:c>
      <x:c r="F26" s="7" t="str">
        <x:v>Cloudera
(on premises)</x:v>
      </x:c>
      <x:c r="G26" s="7" t="str">
        <x:v>Apache Spark
(on premises)</x:v>
      </x:c>
    </x:row>
    <x:row r="27" ht="85" customHeight="1">
      <x:c r="A27" s="2"/>
      <x:c r="B27" s="17" t="str">
        <x:v>Approach</x:v>
      </x:c>
      <x:c r="C27" s="16" t="str">
        <x:v>Design extraction and target loading through connectors. Validate sources, targets and data types against the connector version offered.</x:v>
      </x:c>
      <x:c r="D27" s="16" t="str">
        <x:v>LKMs define movement and JKMs define change-capture strategies. Inspect how the selected KM affects the source and target.</x:v>
      </x:c>
      <x:c r="E27" s="16" t="str">
        <x:v>Source data must first become accessible in Oracle. An incremental model does not replace a component capturing changes in the source system.</x:v>
      </x:c>
      <x:c r="F27" s="16" t="str">
        <x:v>Use the selected connector/flow service to ingest into the platform. If NiFi is proposed, identify the Flow Management scope separately.</x:v>
      </x:c>
      <x:c r="G27" s="16" t="str">
        <x:v>JDBC and file read/write paths are available. Oracle log-based CDC and API ingestion need additional components or application code.</x:v>
      </x:c>
    </x:row>
    <x:row r="28" ht="85" customHeight="1">
      <x:c r="A28" s="2"/>
      <x:c r="B28" s="17" t="str">
        <x:v>Dependencies and limits</x:v>
      </x:c>
      <x:c r="C28" s="16" t="str">
        <x:v>If PowerExchange or another CDC path is required, identify its license, agent, log access and restart position separately.</x:v>
      </x:c>
      <x:c r="D28" s="16" t="str">
        <x:v>Specify whether CDC uses triggers, journals or logs. Price GoldenGate usage and source entitlements separately where applicable.</x:v>
      </x:c>
      <x:c r="E28" s="16" t="str">
        <x:v>The ingestion service must supply a contract for change order, deletes, duplicates and schema changes. Small seed files are not a general ingestion service.</x:v>
      </x:c>
      <x:c r="F28" s="16" t="str">
        <x:v>Include source capture, messaging/intermediate storage, schema management and loading back to Exadata. Account for retention of the additional cluster copy.</x:v>
      </x:c>
      <x:c r="G28" s="16" t="str">
        <x:v>Control concurrent JDBC connections. Partition bounds are not change filters; implement incremental selection separately.</x:v>
      </x:c>
    </x:row>
    <x:row r="29" ht="85" customHeight="1">
      <x:c r="A29" s="2"/>
      <x:c r="B29" s="17" t="str">
        <x:v>Bank implications (assessment)</x:v>
      </x:c>
      <x:c r="C29" s="16" t="str">
        <x:v>Packaged integration for diverse sources can be useful; award points only for connectors the bank actually needs.</x:v>
      </x:c>
      <x:c r="D29" s="16" t="str">
        <x:v>A starting point for Oracle source/target flows. Capture methods that add source objects or workload require DBA approval.</x:v>
      </x:c>
      <x:c r="E29" s="16" t="str">
        <x:v>Can simplify transformation scope when ingestion is already reliable. If ingestion must be built, include its cost alongside the dbt offer.</x:v>
      </x:c>
      <x:c r="F29" s="16" t="str">
        <x:v>Files and broader data types may justify platform scope. Include extraction from Oracle and the return load in elapsed time.</x:v>
      </x:c>
      <x:c r="G29" s="16" t="str">
        <x:v>Increasing parallelism can exceed KALE connection/load limits. Parallel reads without an agreed consistency point can undermine business reconciliation.</x:v>
      </x:c>
    </x:row>
    <x:row r="30" ht="85" customHeight="1">
      <x:c r="A30" s="2"/>
      <x:c r="B30" s="17" t="str">
        <x:v>Demonstrate in a common test</x:v>
      </x:c>
      <x:c r="C30" s="16" t="str">
        <x:v>Initial load, inserts/updates/deletes, source outage and a duplicate file arrival. Measure source CPU/IO, counts, amounts and duplicates.</x:v>
      </x:c>
      <x:c r="D30" s="16" t="str">
        <x:v>Show the transition from initial load to change capture, required source permissions and loss-free restart. Record KM/driver settings.</x:v>
      </x:c>
      <x:c r="E30" s="16" t="str">
        <x:v>Show the ready signal from ingestion to dbt, delete/late-event information and pipeline behaviour after a source schema change.</x:v>
      </x:c>
      <x:c r="F30" s="16" t="str">
        <x:v>Trace identical records through ingestion and the cluster to Oracle. Test order, duplicates, connection interruption and file quarantine.</x:v>
      </x:c>
      <x:c r="G30" s="16" t="str">
        <x:v>Test connection limits, read consistency, date filters, batch writes and retries of a failed partition.</x:v>
      </x:c>
    </x:row>
    <x:row r="31" ht="33" customHeight="1">
      <x:c r="A31" s="2"/>
      <x:c r="B31" s="19" t="str">
        <x:v>Source IDs</x:v>
      </x:c>
      <x:c r="C31" s="19" t="str">
        <x:v>I1; architecture requirement</x:v>
      </x:c>
      <x:c r="D31" s="19" t="str">
        <x:v>O1</x:v>
      </x:c>
      <x:c r="E31" s="19" t="str">
        <x:v>D1, D2</x:v>
      </x:c>
      <x:c r="F31" s="19" t="str">
        <x:v>C3</x:v>
      </x:c>
      <x:c r="G31" s="19" t="str">
        <x:v>S1</x:v>
      </x:c>
    </x:row>
    <x:row r="32" ht="24" customHeight="1">
      <x:c r="A32" s="2"/>
      <x:c r="B32" s="2"/>
      <x:c r="C32" s="2"/>
      <x:c r="D32" s="2"/>
      <x:c r="E32" s="2"/>
      <x:c r="F32" s="2"/>
      <x:c r="G32" s="2"/>
    </x:row>
    <x:row r="33" ht="29" customHeight="1">
      <x:c r="A33" s="2"/>
      <x:c r="B33" s="15" t="str">
        <x:v>04  Transformation and Exadata efficiency</x:v>
      </x:c>
      <x:c r="C33" s="2"/>
      <x:c r="D33" s="2"/>
      <x:c r="E33" s="2"/>
      <x:c r="F33" s="2"/>
      <x:c r="G33" s="2"/>
    </x:row>
    <x:row r="34" ht="27" customHeight="1">
      <x:c r="A34" s="2"/>
      <x:c r="B34" s="2" t="str">
        <x:v>Measure ingestion + transfer + transformation + controls + publication, including resource use with concurrent reporting.</x:v>
      </x:c>
      <x:c r="C34" s="2"/>
      <x:c r="D34" s="2"/>
      <x:c r="E34" s="2"/>
      <x:c r="F34" s="2"/>
      <x:c r="G34" s="2"/>
    </x:row>
    <x:row r="35" ht="40" customHeight="1">
      <x:c r="A35" s="2"/>
      <x:c r="B35" s="7" t="str">
        <x:v>Comparison dimension</x:v>
      </x:c>
      <x:c r="C35" s="7" t="str">
        <x:v>Informatica
PowerCenter</x:v>
      </x:c>
      <x:c r="D35" s="7" t="str">
        <x:v>Oracle ODI</x:v>
      </x:c>
      <x:c r="E35" s="7" t="str">
        <x:v>dbt Core v1
+ Oracle</x:v>
      </x:c>
      <x:c r="F35" s="7" t="str">
        <x:v>Cloudera
(on premises)</x:v>
      </x:c>
      <x:c r="G35" s="7" t="str">
        <x:v>Apache Spark
(on premises)</x:v>
      </x:c>
    </x:row>
    <x:row r="36" ht="85" customHeight="1">
      <x:c r="A36" s="2"/>
      <x:c r="B36" s="17" t="str">
        <x:v>Approach</x:v>
      </x:c>
      <x:c r="C36" s="16" t="str">
        <x:v>Transformations execute in the Integration Service or, where supported, in the database. Pushdown coverage depends on the mapping and functions.</x:v>
      </x:c>
      <x:c r="D36" s="16" t="str">
        <x:v>KMs generate code for source/target execution. Inspect generated SQL and physical mapping design for Oracle transformations.</x:v>
      </x:c>
      <x:c r="E36" s="16" t="str">
        <x:v>SQL models execute in Oracle. Compilation and dependency ordering run locally; Oracle supplies the processing capacity.</x:v>
      </x:c>
      <x:c r="F36" s="16" t="str">
        <x:v>The selected Spark/SQL engine can process data in the cluster. If Exadata remains the target, extraction and return loading are part of the execution path.</x:v>
      </x:c>
      <x:c r="G36" s="16" t="str">
        <x:v>DataFrame/SQL processing runs in the cluster. Some JDBC operations can be pushed down; do not assume the whole workload executes in Oracle.</x:v>
      </x:c>
    </x:row>
    <x:row r="37" ht="85" customHeight="1">
      <x:c r="A37" s="2"/>
      <x:c r="B37" s="17" t="str">
        <x:v>Dependencies and limits</x:v>
      </x:c>
      <x:c r="C37" s="16" t="str">
        <x:v>Measure engine hardware, network movement and target SQL together. Test extra movement and behavioural differences when transformations cannot be pushed down.</x:v>
      </x:c>
      <x:c r="D37" s="16" t="str">
        <x:v>Requires DBA tuning, staging/temp space and parallelism policies. Shared vendor branding is not evidence of lower resource consumption.</x:v>
      </x:c>
      <x:c r="E37" s="16" t="str">
        <x:v>Test adapter materializations and generated SQL. Oracle documentation excludes ephemeral materialization; cloud Python features must not be assumed available on local Exadata.</x:v>
      </x:c>
      <x:c r="F37" s="16" t="str">
        <x:v>Select cluster queues, executor resources, shuffle/storage and Oracle loading methods. Keep Base and optional-service boundaries explicit.</x:v>
      </x:c>
      <x:c r="G37" s="16" t="str">
        <x:v>Tune JDBC read/write parallelism, driver memory, shuffle and target commits. Use capabilities of the actual selected Spark release.</x:v>
      </x:c>
    </x:row>
    <x:row r="38" ht="85" customHeight="1">
      <x:c r="A38" s="2"/>
      <x:c r="B38" s="17" t="str">
        <x:v>Bank implications (assessment)</x:v>
      </x:c>
      <x:c r="C38" s="16" t="str">
        <x:v>Database resource effects of visual mappings must be observable. Small differences in pushdown coverage can substantially change movement at scale.</x:v>
      </x:c>
      <x:c r="D38" s="16" t="str">
        <x:v>Can be measured against the existing SQL/PLSQL baseline. Target-side processing may compete with reporting queries.</x:v>
      </x:c>
      <x:c r="E38" s="16" t="str">
        <x:v>The bank can review and tune SQL directly. Plan test/resource consumption and the number of concurrent models.</x:v>
      </x:c>
      <x:c r="F38" s="16" t="str">
        <x:v>Distributed processing is an advantage only if measured benefits justify added movement and cluster cost.</x:v>
      </x:c>
      <x:c r="G38" s="16" t="str">
        <x:v>Demonstrate the need for distributed processing. Moving a join/aggregate out of Oracle is not itself a benefit.</x:v>
      </x:c>
    </x:row>
    <x:row r="39" ht="85" customHeight="1">
      <x:c r="A39" s="2"/>
      <x:c r="B39" s="17" t="str">
        <x:v>Demonstrate in a common test</x:v>
      </x:c>
      <x:c r="C39" s="16" t="str">
        <x:v>Compare the same mapping with supported pushdown settings. Record plans, row counts, CPU/IO, network traffic and end-to-end time.</x:v>
      </x:c>
      <x:c r="D39" s="16" t="str">
        <x:v>Compare generated SQL with an optimized SQL baseline. Measure completion under parallel jobs and MicroStrategy queries.</x:v>
      </x:c>
      <x:c r="E39" s="16" t="str">
        <x:v>Measure incremental and full-refresh plans. Record Oracle load as historical-correction volume and model concurrency increase.</x:v>
      </x:c>
      <x:c r="F39" s="16" t="str">
        <x:v>Measure extraction and loading as well as cluster transformation time. Record the complete production resource envelope and queue delay.</x:v>
      </x:c>
      <x:c r="G39" s="16" t="str">
        <x:v>Measure source/target load across JDBC/executor configurations. Prove the fastest configuration also respects bank resource limits.</x:v>
      </x:c>
    </x:row>
    <x:row r="40" ht="33" customHeight="1">
      <x:c r="A40" s="2"/>
      <x:c r="B40" s="19" t="str">
        <x:v>Source IDs</x:v>
      </x:c>
      <x:c r="C40" s="19" t="str">
        <x:v>I1</x:v>
      </x:c>
      <x:c r="D40" s="19" t="str">
        <x:v>O1</x:v>
      </x:c>
      <x:c r="E40" s="19" t="str">
        <x:v>D1, D2</x:v>
      </x:c>
      <x:c r="F40" s="19" t="str">
        <x:v>C1, S1</x:v>
      </x:c>
      <x:c r="G40" s="19" t="str">
        <x:v>S1</x:v>
      </x:c>
    </x:row>
    <x:row r="41" ht="24" customHeight="1">
      <x:c r="A41" s="2"/>
      <x:c r="B41" s="2"/>
      <x:c r="C41" s="2"/>
      <x:c r="D41" s="2"/>
      <x:c r="E41" s="2"/>
      <x:c r="F41" s="2"/>
      <x:c r="G41" s="2"/>
    </x:row>
    <x:row r="42" ht="29" customHeight="1">
      <x:c r="A42" s="2"/>
      <x:c r="B42" s="15" t="str">
        <x:v>05  Data correctness, history and reconciliation</x:v>
      </x:c>
      <x:c r="C42" s="2"/>
      <x:c r="D42" s="2"/>
      <x:c r="E42" s="2"/>
      <x:c r="F42" s="2"/>
      <x:c r="G42" s="2"/>
    </x:row>
    <x:row r="43" ht="27" customHeight="1">
      <x:c r="A43" s="2"/>
      <x:c r="B43" s="2" t="str">
        <x:v>Accept business results, not just successful jobs: history, late corrections, deletes, amounts and controlled republication.</x:v>
      </x:c>
      <x:c r="C43" s="2"/>
      <x:c r="D43" s="2"/>
      <x:c r="E43" s="2"/>
      <x:c r="F43" s="2"/>
      <x:c r="G43" s="2"/>
    </x:row>
    <x:row r="44" ht="40" customHeight="1">
      <x:c r="A44" s="2"/>
      <x:c r="B44" s="7" t="str">
        <x:v>Comparison dimension</x:v>
      </x:c>
      <x:c r="C44" s="7" t="str">
        <x:v>Informatica
PowerCenter</x:v>
      </x:c>
      <x:c r="D44" s="7" t="str">
        <x:v>Oracle ODI</x:v>
      </x:c>
      <x:c r="E44" s="7" t="str">
        <x:v>dbt Core v1
+ Oracle</x:v>
      </x:c>
      <x:c r="F44" s="7" t="str">
        <x:v>Cloudera
(on premises)</x:v>
      </x:c>
      <x:c r="G44" s="7" t="str">
        <x:v>Apache Spark
(on premises)</x:v>
      </x:c>
    </x:row>
    <x:row r="45" ht="85" customHeight="1">
      <x:c r="A45" s="2"/>
      <x:c r="B45" s="17" t="str">
        <x:v>Approach</x:v>
      </x:c>
      <x:c r="C45" s="16" t="str">
        <x:v>Implement correctness through mapping rules and target loading strategy. Business reconciliation and history policies are bank-defined rules.</x:v>
      </x:c>
      <x:c r="D45" s="16" t="str">
        <x:v>Use IKM strategies for inserts/updates and history design. CKM checks can be selected; define business reconciliation rules separately.</x:v>
      </x:c>
      <x:c r="E45" s="16" t="str">
        <x:v>Developers design incremental filters and keys. Data tests provide SQL-based checks; implement history and correction rules in the models.</x:v>
      </x:c>
      <x:c r="F45" s="16" t="str">
        <x:v>Correctness depends on the selected engine, table format and publication design. The platform name does not guarantee correct historical adjustments.</x:v>
      </x:c>
      <x:c r="G45" s="16" t="str">
        <x:v>Transformation code and the target protocol determine correctness. Streaming checkpoints do not prove exactly-once business publication to Oracle.</x:v>
      </x:c>
    </x:row>
    <x:row r="46" ht="85" customHeight="1">
      <x:c r="A46" s="2"/>
      <x:c r="B46" s="17" t="str">
        <x:v>Dependencies and limits</x:v>
      </x:c>
      <x:c r="C46" s="16" t="str">
        <x:v>Separate any advanced quality/catalog product included in the offer. Design reject quarantine, business control tables and publication gating.</x:v>
      </x:c>
      <x:c r="D46" s="16" t="str">
        <x:v>Manage KM customizations, commit boundaries and error tables. An SCD option does not automatically handle every backdated business correction.</x:v>
      </x:c>
      <x:c r="E46" s="16" t="str">
        <x:v>Validate key tests, late-data windows and delete behaviour in the adapter. Snapshots do not capture every change occurring between runs.</x:v>
      </x:c>
      <x:c r="F46" s="16" t="str">
        <x:v>Separate table-format transaction guarantees from transfer guarantees to Oracle. Reconcile counts/amounts across both environments using load identifiers.</x:v>
      </x:c>
      <x:c r="G46" s="16" t="str">
        <x:v>Code idempotent target writes, deduplication identifiers, transaction/commit boundaries and quality rules, or supply them through an additional framework.</x:v>
      </x:c>
    </x:row>
    <x:row r="47" ht="85" customHeight="1">
      <x:c r="A47" s="2"/>
      <x:c r="B47" s="17" t="str">
        <x:v>Bank implications (assessment)</x:v>
      </x:c>
      <x:c r="C47" s="16" t="str">
        <x:v>Visual control steps must be auditable; inspect silently dropped records and settings that continue after failures.</x:v>
      </x:c>
      <x:c r="D47" s="16" t="str">
        <x:v>SQL can keep reconciliation close to transformations. Reruns must not mix old and new results for the same business date.</x:v>
      </x:c>
      <x:c r="E47" s="16" t="str">
        <x:v>Model tests can be part of development. Orchestration must separately ensure a failed test prevents publication.</x:v>
      </x:c>
      <x:c r="F47" s="16" t="str">
        <x:v>The gap between cluster results and the report target creates additional reconciliation work. Accept business results at the final publication point.</x:v>
      </x:c>
      <x:c r="G47" s="16" t="str">
        <x:v>Flexibility may increase custom correctness code and test requirements. Technical at-least-once processing must not produce duplicate business results.</x:v>
      </x:c>
    </x:row>
    <x:row r="48" ht="85" customHeight="1">
      <x:c r="A48" s="2"/>
      <x:c r="B48" s="17" t="str">
        <x:v>Demonstrate in a common test</x:v>
      </x:c>
      <x:c r="C48" s="16" t="str">
        <x:v>Load the same business date twice, introduce deletes and historical corrections, and generate rejects. Obtain business approval of counts, amounts and report versions.</x:v>
      </x:c>
      <x:c r="D48" s="16" t="str">
        <x:v>Demonstrate inserts/updates/deletes, SCD, late corrections and reruns after partial commits. Retain traceability between original and corrected reports.</x:v>
      </x:c>
      <x:c r="E48" s="16" t="str">
        <x:v>Introduce duplicate/null keys, late data, full refresh and schema changes. Show that test failures prevent consumer publication.</x:v>
      </x:c>
      <x:c r="F48" s="16" t="str">
        <x:v>Interrupt the cluster table and Oracle target at different points. Reconcile the business-date counts/amounts and confirm a single controlled publication.</x:v>
      </x:c>
      <x:c r="G48" s="16" t="str">
        <x:v>Interrupt an executor/driver during target writes. Show restart without lost or duplicate business keys.</x:v>
      </x:c>
    </x:row>
    <x:row r="49" ht="33" customHeight="1">
      <x:c r="A49" s="2"/>
      <x:c r="B49" s="19" t="str">
        <x:v>Source IDs</x:v>
      </x:c>
      <x:c r="C49" s="19" t="str">
        <x:v>I1, I2; business design</x:v>
      </x:c>
      <x:c r="D49" s="19" t="str">
        <x:v>O1, O2</x:v>
      </x:c>
      <x:c r="E49" s="19" t="str">
        <x:v>D2, D3</x:v>
      </x:c>
      <x:c r="F49" s="19" t="str">
        <x:v>C1; business design</x:v>
      </x:c>
      <x:c r="G49" s="19" t="str">
        <x:v>S1, S2</x:v>
      </x:c>
    </x:row>
    <x:row r="50" ht="24" customHeight="1">
      <x:c r="A50" s="2"/>
      <x:c r="B50" s="2"/>
      <x:c r="C50" s="2"/>
      <x:c r="D50" s="2"/>
      <x:c r="E50" s="2"/>
      <x:c r="F50" s="2"/>
      <x:c r="G50" s="2"/>
    </x:row>
    <x:row r="51" ht="29" customHeight="1">
      <x:c r="A51" s="2"/>
      <x:c r="B51" s="15" t="str">
        <x:v>06  Scheduling, operational reporting and recovery</x:v>
      </x:c>
      <x:c r="C51" s="2"/>
      <x:c r="D51" s="2"/>
      <x:c r="E51" s="2"/>
      <x:c r="F51" s="2"/>
      <x:c r="G51" s="2"/>
    </x:row>
    <x:row r="52" ht="27" customHeight="1">
      <x:c r="A52" s="2"/>
      <x:c r="B52" s="2" t="str">
        <x:v>Cover business dates and end-of-day signals, batch/intraday delivery, replay and protection from incomplete report data.</x:v>
      </x:c>
      <x:c r="C52" s="2"/>
      <x:c r="D52" s="2"/>
      <x:c r="E52" s="2"/>
      <x:c r="F52" s="2"/>
      <x:c r="G52" s="2"/>
    </x:row>
    <x:row r="53" ht="40" customHeight="1">
      <x:c r="A53" s="2"/>
      <x:c r="B53" s="7" t="str">
        <x:v>Comparison dimension</x:v>
      </x:c>
      <x:c r="C53" s="7" t="str">
        <x:v>Informatica
PowerCenter</x:v>
      </x:c>
      <x:c r="D53" s="7" t="str">
        <x:v>Oracle ODI</x:v>
      </x:c>
      <x:c r="E53" s="7" t="str">
        <x:v>dbt Core v1
+ Oracle</x:v>
      </x:c>
      <x:c r="F53" s="7" t="str">
        <x:v>Cloudera
(on premises)</x:v>
      </x:c>
      <x:c r="G53" s="7" t="str">
        <x:v>Apache Spark
(on premises)</x:v>
      </x:c>
    </x:row>
    <x:row r="54" ht="85" customHeight="1">
      <x:c r="A54" s="2"/>
      <x:c r="B54" s="17" t="str">
        <x:v>Approach</x:v>
      </x:c>
      <x:c r="C54" s="16" t="str">
        <x:v>Use workflows/sessions and configured recovery strategies. Resume behaviour depends on the task and licensed capabilities.</x:v>
      </x:c>
      <x:c r="D54" s="16" t="str">
        <x:v>Load Plans support serial/parallel/conditional steps and restart behaviour. They can be invoked by the agent or an external scheduler.</x:v>
      </x:c>
      <x:c r="E54" s="16" t="str">
        <x:v>Invoke Core from an external scheduler. Model dependencies alone do not cover enterprise calendars or the complete ingestion/publication schedule.</x:v>
      </x:c>
      <x:c r="F54" s="16" t="str">
        <x:v>Schedule through the selected service; identify Base/Oozie or additional-service scope for the release. Cluster management and business scheduling are separate responsibilities.</x:v>
      </x:c>
      <x:c r="G54" s="16" t="str">
        <x:v>spark-submit launches applications. Business calendars, dependencies, alerting and retry policies require orchestration.</x:v>
      </x:c>
    </x:row>
    <x:row r="55" ht="85" customHeight="1">
      <x:c r="A55" s="2"/>
      <x:c r="B55" s="17" t="str">
        <x:v>Dependencies and limits</x:v>
      </x:c>
      <x:c r="C55" s="16" t="str">
        <x:v>Requires enterprise-scheduler integration, shared recovery state, target business controls and a report-publication mechanism.</x:v>
      </x:c>
      <x:c r="D55" s="16" t="str">
        <x:v>Choose Load Plan restart points consistently with commit state. Recover repositories, agents and target data together.</x:v>
      </x:c>
      <x:c r="E55" s="16" t="str">
        <x:v>Local orchestration must manage business date, timeout, retry, ingestion readiness, testing and publication. Code rollback alone is not data rollback.</x:v>
      </x:c>
      <x:c r="F55" s="16" t="str">
        <x:v>Requires unified monitoring and DR for the scheduler, cluster services, intermediate data and Oracle delivery step.</x:v>
      </x:c>
      <x:c r="G55" s="16" t="str">
        <x:v>Design durable checkpoints, restart, target transactions and backlog handling. Long-running streaming interruptions require different treatment from batch failures.</x:v>
      </x:c>
    </x:row>
    <x:row r="56" ht="85" customHeight="1">
      <x:c r="A56" s="2"/>
      <x:c r="B56" s="17" t="str">
        <x:v>Bank implications (assessment)</x:v>
      </x:c>
      <x:c r="C56" s="16" t="str">
        <x:v>Central workflow visibility may help; correlate errors from different components into one service incident.</x:v>
      </x:c>
      <x:c r="D56" s="16" t="str">
        <x:v>Keep workflow status consistent with the bank scheduler. Clock-based triggering before source readiness can load the wrong business date.</x:v>
      </x:c>
      <x:c r="E56" s="16" t="str">
        <x:v>A simple CLI may ease integration; make the cost of supplying operational capabilities in external tools visible.</x:v>
      </x:c>
      <x:c r="F56" s="16" t="str">
        <x:v>Source, cluster and Oracle create more failure points. The delivery SLA must cover the entire path.</x:v>
      </x:c>
      <x:c r="G56" s="16" t="str">
        <x:v>A restarted job and a correct, timely report are separate acceptance outcomes. Task retries must not be assumed to provide business-safe replay.</x:v>
      </x:c>
    </x:row>
    <x:row r="57" ht="85" customHeight="1">
      <x:c r="A57" s="2"/>
      <x:c r="B57" s="17" t="str">
        <x:v>Demonstrate in a common test</x:v>
      </x:c>
      <x:c r="C57" s="16" t="str">
        <x:v>Introduce a late end-of-day signal, calendar exception and target outage. Measure operator intervention, alerts and correct publication time.</x:v>
      </x:c>
      <x:c r="D57" s="16" t="str">
        <x:v>If Automic usage is confirmed, demonstrate Load Plan invocation/status exchange. Resume from the correct task and business date after repository/agent failure.</x:v>
      </x:c>
      <x:c r="E57" s="16" t="str">
        <x:v>Execute scheduler→ingestion→dbt→tests→publication. Demonstrate duplicate triggering, timeout and replay of the same business run.</x:v>
      </x:c>
      <x:c r="F57" s="16" t="str">
        <x:v>Show priority for critical operational reports during queue saturation and service outages. Complete Oracle delivery after DR.</x:v>
      </x:c>
      <x:c r="G57" s="16" t="str">
        <x:v>Test checkpoint loss/driver failure and accumulated backlog. Measure RPO/RTO, duplicates and report-readiness signals together.</x:v>
      </x:c>
    </x:row>
    <x:row r="58" ht="33" customHeight="1">
      <x:c r="A58" s="2"/>
      <x:c r="B58" s="19" t="str">
        <x:v>Source IDs</x:v>
      </x:c>
      <x:c r="C58" s="19" t="str">
        <x:v>I2</x:v>
      </x:c>
      <x:c r="D58" s="19" t="str">
        <x:v>O2</x:v>
      </x:c>
      <x:c r="E58" s="19" t="str">
        <x:v>D2, D3; service design</x:v>
      </x:c>
      <x:c r="F58" s="19" t="str">
        <x:v>C1</x:v>
      </x:c>
      <x:c r="G58" s="19" t="str">
        <x:v>S2, S4</x:v>
      </x:c>
    </x:row>
    <x:row r="59" ht="24" customHeight="1">
      <x:c r="A59" s="2"/>
      <x:c r="B59" s="2"/>
      <x:c r="C59" s="2"/>
      <x:c r="D59" s="2"/>
      <x:c r="E59" s="2"/>
      <x:c r="F59" s="2"/>
      <x:c r="G59" s="2"/>
    </x:row>
    <x:row r="60" ht="29" customHeight="1">
      <x:c r="A60" s="2"/>
      <x:c r="B60" s="15" t="str">
        <x:v>07  Security, metadata and auditability</x:v>
      </x:c>
      <x:c r="C60" s="2"/>
      <x:c r="D60" s="2"/>
      <x:c r="E60" s="2"/>
      <x:c r="F60" s="2"/>
      <x:c r="G60" s="2"/>
    </x:row>
    <x:row r="61" ht="27" customHeight="1">
      <x:c r="A61" s="2"/>
      <x:c r="B61" s="2" t="str">
        <x:v>Minimum security is mandatory; scoring measures required control coverage, traceability and operational usability.</x:v>
      </x:c>
      <x:c r="C61" s="2"/>
      <x:c r="D61" s="2"/>
      <x:c r="E61" s="2"/>
      <x:c r="F61" s="2"/>
      <x:c r="G61" s="2"/>
    </x:row>
    <x:row r="62" ht="40" customHeight="1">
      <x:c r="A62" s="2"/>
      <x:c r="B62" s="7" t="str">
        <x:v>Comparison dimension</x:v>
      </x:c>
      <x:c r="C62" s="7" t="str">
        <x:v>Informatica
PowerCenter</x:v>
      </x:c>
      <x:c r="D62" s="7" t="str">
        <x:v>Oracle ODI</x:v>
      </x:c>
      <x:c r="E62" s="7" t="str">
        <x:v>dbt Core v1
+ Oracle</x:v>
      </x:c>
      <x:c r="F62" s="7" t="str">
        <x:v>Cloudera
(on premises)</x:v>
      </x:c>
      <x:c r="G62" s="7" t="str">
        <x:v>Apache Spark
(on premises)</x:v>
      </x:c>
    </x:row>
    <x:row r="63" ht="85" customHeight="1">
      <x:c r="A63" s="2"/>
      <x:c r="B63" s="17" t="str">
        <x:v>Approach</x:v>
      </x:c>
      <x:c r="C63" s="16" t="str">
        <x:v>The product repository and runtime logs contain process metadata. Scope enterprise source-column-to-report lineage separately.</x:v>
      </x:c>
      <x:c r="D63" s="16" t="str">
        <x:v>Repository/topology/security models and execution records are available. Design dependencies do not imply complete lineage through MicroStrategy.</x:v>
      </x:c>
      <x:c r="E63" s="16" t="str">
        <x:v>Use project dependencies, test results and compilation artifacts. Manage Oracle permissions and local-runner access separately.</x:v>
      </x:c>
      <x:c r="F63" s="16" t="str">
        <x:v>Services such as Ranger and Atlas form part of the security/metadata architecture. Actual coverage depends on the selected services and integrations.</x:v>
      </x:c>
      <x:c r="G63" s="16" t="str">
        <x:v>Configure engine security. Assess identity, networks, UI, logs and application permissions together with the cluster manager and other components.</x:v>
      </x:c>
    </x:row>
    <x:row r="64" ht="85" customHeight="1">
      <x:c r="A64" s="2"/>
      <x:c r="B64" s="17" t="str">
        <x:v>Dependencies and limits</x:v>
      </x:c>
      <x:c r="C64" s="16" t="str">
        <x:v>Validate required catalog/lineage scanners, central log collection, sensitive-field masking and secrets management separately.</x:v>
      </x:c>
      <x:c r="D64" s="16" t="str">
        <x:v>Include catalog integration, custom SQL/PLSQL lineage, log retention and credential/connection management.</x:v>
      </x:c>
      <x:c r="E64" s="16" t="str">
        <x:v>Add artifact/documentation retention, enterprise catalog integration, secrets and role separation. A dependency graph is not automatically complete column lineage.</x:v>
      </x:c>
      <x:c r="F64" s="16" t="str">
        <x:v>Test the objects covered by Atlas/other catalog connectors at Oracle ingestion, output and reporting boundaries.</x:v>
      </x:c>
      <x:c r="G64" s="16" t="str">
        <x:v>Select local IAM, secrets, encryption, audit/log, catalog and lineage components. Restrict application code access to external systems separately.</x:v>
      </x:c>
    </x:row>
    <x:row r="65" ht="85" customHeight="1">
      <x:c r="A65" s="2"/>
      <x:c r="B65" s="17" t="str">
        <x:v>Bank implications (assessment)</x:v>
      </x:c>
      <x:c r="C65" s="16" t="str">
        <x:v>Assuming catalog capabilities across the product family are included understates cost/scope. Inspect sensitive values in error logs.</x:v>
      </x:c>
      <x:c r="D65" s="16" t="str">
        <x:v>PowerDesigner ownership metadata can be related to business meaning and approval records; do not assume these integrations already exist.</x:v>
      </x:c>
      <x:c r="E65" s="16" t="str">
        <x:v>Text-based projects can aid review; artifacts and log files must also be protected as bank metadata.</x:v>
      </x:c>
      <x:c r="F65" s="16" t="str">
        <x:v>Central platform controls may help; prove their reach into the bank’s Oracle and reporting environment.</x:v>
      </x:c>
      <x:c r="G65" s="16" t="str">
        <x:v>Include maintenance and audit effort for security across multiple components. Do not assume secure defaults.</x:v>
      </x:c>
    </x:row>
    <x:row r="66" ht="85" customHeight="1">
      <x:c r="A66" s="2"/>
      <x:c r="B66" s="17" t="str">
        <x:v>Demonstrate in a common test</x:v>
      </x:c>
      <x:c r="C66" s="16" t="str">
        <x:v>Trace a sensitive field from source to report, deny unauthorized access and show log masking. Record additional products used.</x:v>
      </x:c>
      <x:c r="D66" s="16" t="str">
        <x:v>Demonstrate access changes, secret rotation and report impact analysis for a flow containing custom SQL.</x:v>
      </x:c>
      <x:c r="E66" s="16" t="str">
        <x:v>Test secret leakage, CI/runtime separation, artifact retention and report impact of a column change.</x:v>
      </x:c>
      <x:c r="F66" s="16" t="str">
        <x:v>Test Ranger policies and audit records. Explicitly list gaps between Atlas coverage, the Oracle target and reporting.</x:v>
      </x:c>
      <x:c r="G66" s="16" t="str">
        <x:v>Test UI/driver/executor access. Revoke a service account and inspect logs; show source-code-target-report traceability and gaps.</x:v>
      </x:c>
    </x:row>
    <x:row r="67" ht="33" customHeight="1">
      <x:c r="A67" s="2"/>
      <x:c r="B67" s="19" t="str">
        <x:v>Source IDs</x:v>
      </x:c>
      <x:c r="C67" s="19" t="str">
        <x:v>I4; integration required</x:v>
      </x:c>
      <x:c r="D67" s="19" t="str">
        <x:v>O1, O3</x:v>
      </x:c>
      <x:c r="E67" s="19" t="str">
        <x:v>D1, D3</x:v>
      </x:c>
      <x:c r="F67" s="19" t="str">
        <x:v>C1, C3</x:v>
      </x:c>
      <x:c r="G67" s="19" t="str">
        <x:v>S3</x:v>
      </x:c>
    </x:row>
    <x:row r="68" ht="24" customHeight="1">
      <x:c r="A68" s="2"/>
      <x:c r="B68" s="2"/>
      <x:c r="C68" s="2"/>
      <x:c r="D68" s="2"/>
      <x:c r="E68" s="2"/>
      <x:c r="F68" s="2"/>
      <x:c r="G68" s="2"/>
    </x:row>
    <x:row r="69" ht="29" customHeight="1">
      <x:c r="A69" s="2"/>
      <x:c r="B69" s="15" t="str">
        <x:v>08  Development, testing and change management</x:v>
      </x:c>
      <x:c r="C69" s="2"/>
      <x:c r="D69" s="2"/>
      <x:c r="E69" s="2"/>
      <x:c r="F69" s="2"/>
      <x:c r="G69" s="2"/>
    </x:row>
    <x:row r="70" ht="27" customHeight="1">
      <x:c r="A70" s="2"/>
      <x:c r="B70" s="2" t="str">
        <x:v>The bank’s team must be able to implement, review, test and safely release a change.</x:v>
      </x:c>
      <x:c r="C70" s="2"/>
      <x:c r="D70" s="2"/>
      <x:c r="E70" s="2"/>
      <x:c r="F70" s="2"/>
      <x:c r="G70" s="2"/>
    </x:row>
    <x:row r="71" ht="40" customHeight="1">
      <x:c r="A71" s="2"/>
      <x:c r="B71" s="7" t="str">
        <x:v>Comparison dimension</x:v>
      </x:c>
      <x:c r="C71" s="7" t="str">
        <x:v>Informatica
PowerCenter</x:v>
      </x:c>
      <x:c r="D71" s="7" t="str">
        <x:v>Oracle ODI</x:v>
      </x:c>
      <x:c r="E71" s="7" t="str">
        <x:v>dbt Core v1
+ Oracle</x:v>
      </x:c>
      <x:c r="F71" s="7" t="str">
        <x:v>Cloudera
(on premises)</x:v>
      </x:c>
      <x:c r="G71" s="7" t="str">
        <x:v>Apache Spark
(on premises)</x:v>
      </x:c>
    </x:row>
    <x:row r="72" ht="85" customHeight="1">
      <x:c r="A72" s="2"/>
      <x:c r="B72" s="17" t="str">
        <x:v>Approach</x:v>
      </x:c>
      <x:c r="C72" s="16" t="str">
        <x:v>Visual mappings and repository objects. Assess PowerCenter repository versioning/team development separately from a source-code Git workflow.</x:v>
      </x:c>
      <x:c r="D72" s="16" t="str">
        <x:v>Visual mappings, KMs and scenarios, with documented external VCS integration. Review objects and generated code together.</x:v>
      </x:c>
      <x:c r="E72" s="16" t="str">
        <x:v>SQL/YAML and macros form a text-based project. Data tests can join the development workflow. Pin compatible Core/adapter versions.</x:v>
      </x:c>
      <x:c r="F72" s="16" t="str">
        <x:v>The developer experience depends on the selected engine and tools. Spark code, SQL, flow design and notebooks are different change types.</x:v>
      </x:c>
      <x:c r="G72" s="16" t="str">
        <x:v>Select Python/Scala/SQL applications and a testing framework. Building CI is engineering work alongside product selection.</x:v>
      </x:c>
    </x:row>
    <x:row r="73" ht="85" customHeight="1">
      <x:c r="A73" s="2"/>
      <x:c r="B73" s="17" t="str">
        <x:v>Dependencies and limits</x:v>
      </x:c>
      <x:c r="C73" s="16" t="str">
        <x:v>Confirm repository-versioning entitlement, export/deployment automation, test data and environment configuration. Committing exports to Git does not prove semantic merging.</x:v>
      </x:c>
      <x:c r="D73" s="16" t="str">
        <x:v>Test Git workflow, KM customizations, context/connection separation and automated deployment. Select scenario versions explicitly.</x:v>
      </x:c>
      <x:c r="E73" s="16" t="str">
        <x:v>Requires local Git/CI, a dependency mirror, test data and release approval. Exclude adapter-unsupported features from project standards.</x:v>
      </x:c>
      <x:c r="F73" s="16" t="str">
        <x:v>Choose Git, artifact/image repositories, environment settings and upgrade tests for each tool. Platform services add version dependencies.</x:v>
      </x:c>
      <x:c r="G73" s="16" t="str">
        <x:v>Establish unit/integration tests, packaging, dependency pinning, driver compatibility and deployment/rollback standards.</x:v>
      </x:c>
    </x:row>
    <x:row r="74" ht="85" customHeight="1">
      <x:c r="A74" s="2"/>
      <x:c r="B74" s="17" t="str">
        <x:v>Bank implications (assessment)</x:v>
      </x:c>
      <x:c r="C74" s="16" t="str">
        <x:v>Visual development may suit team preferences. Measure readability of changes and independent review in practice.</x:v>
      </x:c>
      <x:c r="D74" s="16" t="str">
        <x:v>Requires Oracle SQL and KM expertise. Reviewing generated-SQL changes can reduce unexpected performance differences.</x:v>
      </x:c>
      <x:c r="E74" s="16" t="str">
        <x:v>May provide readable models for SQL-skilled teams. Include macro abstraction and package dependencies in maintenance effort.</x:v>
      </x:c>
      <x:c r="F74" s="16" t="str">
        <x:v>Multiple development paths require team standards. Do not award points for notebook/service capabilities absent from the offer.</x:v>
      </x:c>
      <x:c r="G74" s="16" t="str">
        <x:v>Flexible coding requires software engineering discipline. A custom framework owned by one developer may create enduring operational risk.</x:v>
      </x:c>
    </x:row>
    <x:row r="75" ht="85" customHeight="1">
      <x:c r="A75" s="2"/>
      <x:c r="B75" s="17" t="str">
        <x:v>Demonstrate in a common test</x:v>
      </x:c>
      <x:c r="C75" s="16" t="str">
        <x:v>Have two developers add a column and change a business rule. Measure diff review, testing, deployment and rollback effort.</x:v>
      </x:c>
      <x:c r="D75" s="16" t="str">
        <x:v>Deploy the same change through KMs/scenarios and contexts. Demonstrate Git conflicts, automated deployment and return to an earlier version.</x:v>
      </x:c>
      <x:c r="E75" s="16" t="str">
        <x:v>Show model/test changes, CI failure and release rollback. Record separate data-restoration steps when the schema has changed.</x:v>
      </x:c>
      <x:c r="F75" s="16" t="str">
        <x:v>Have the bank’s team implement a change using the chosen standard. Show package and service compatibility across dev/test/prod.</x:v>
      </x:c>
      <x:c r="G75" s="16" t="str">
        <x:v>Demonstrate review, tests, packaging and a dependency-upgrade failure. Reproduce the same package in a clean environment.</x:v>
      </x:c>
    </x:row>
    <x:row r="76" ht="33" customHeight="1">
      <x:c r="A76" s="2"/>
      <x:c r="B76" s="19" t="str">
        <x:v>Source IDs</x:v>
      </x:c>
      <x:c r="C76" s="19" t="str">
        <x:v>I4</x:v>
      </x:c>
      <x:c r="D76" s="19" t="str">
        <x:v>O3</x:v>
      </x:c>
      <x:c r="E76" s="19" t="str">
        <x:v>D1, D3, D4</x:v>
      </x:c>
      <x:c r="F76" s="19" t="str">
        <x:v>C1; design required</x:v>
      </x:c>
      <x:c r="G76" s="19" t="str">
        <x:v>S4; design required</x:v>
      </x:c>
    </x:row>
    <x:row r="77" ht="24" customHeight="1">
      <x:c r="A77" s="2"/>
      <x:c r="B77" s="2"/>
      <x:c r="C77" s="2"/>
      <x:c r="D77" s="2"/>
      <x:c r="E77" s="2"/>
      <x:c r="F77" s="2"/>
      <x:c r="G77" s="2"/>
    </x:row>
    <x:row r="78" ht="29" customHeight="1">
      <x:c r="A78" s="2"/>
      <x:c r="B78" s="15" t="str">
        <x:v>09  Operating model, support and lifecycle</x:v>
      </x:c>
      <x:c r="C78" s="2"/>
      <x:c r="D78" s="2"/>
      <x:c r="E78" s="2"/>
      <x:c r="F78" s="2"/>
      <x:c r="G78" s="2"/>
    </x:row>
    <x:row r="79" ht="27" customHeight="1">
      <x:c r="A79" s="2"/>
      <x:c r="B79" s="2" t="str">
        <x:v>Name who diagnoses, fixes and supports a 03:00 incident; maintain a sustainable upgrade and handover process.</x:v>
      </x:c>
      <x:c r="C79" s="2"/>
      <x:c r="D79" s="2"/>
      <x:c r="E79" s="2"/>
      <x:c r="F79" s="2"/>
      <x:c r="G79" s="2"/>
    </x:row>
    <x:row r="80" ht="40" customHeight="1">
      <x:c r="A80" s="2"/>
      <x:c r="B80" s="7" t="str">
        <x:v>Comparison dimension</x:v>
      </x:c>
      <x:c r="C80" s="7" t="str">
        <x:v>Informatica
PowerCenter</x:v>
      </x:c>
      <x:c r="D80" s="7" t="str">
        <x:v>Oracle ODI</x:v>
      </x:c>
      <x:c r="E80" s="7" t="str">
        <x:v>dbt Core v1
+ Oracle</x:v>
      </x:c>
      <x:c r="F80" s="7" t="str">
        <x:v>Cloudera
(on premises)</x:v>
      </x:c>
      <x:c r="G80" s="7" t="str">
        <x:v>Apache Spark
(on premises)</x:v>
      </x:c>
    </x:row>
    <x:row r="81" ht="85" customHeight="1">
      <x:c r="A81" s="2"/>
      <x:c r="B81" s="17" t="str">
        <x:v>Approach</x:v>
      </x:c>
      <x:c r="C81" s="16" t="str">
        <x:v>Assess vendor/partner support against the actual offer. Obtain written support horizons for the local product release.</x:v>
      </x:c>
      <x:c r="D81" s="16" t="str">
        <x:v>Define Oracle/partner support with explicit boundaries for agent, repository, KM, driver and database incidents.</x:v>
      </x:c>
      <x:c r="E81" s="16" t="str">
        <x:v>Separate Oracle adapter maintenance from contractual incident support. The official Oracle setup page labels dbt support as not supported.</x:v>
      </x:c>
      <x:c r="F81" s="16" t="str">
        <x:v>Define Cloudera/partner support for the services covered by the distribution. Do not assume custom code and external components share that contract.</x:v>
      </x:c>
      <x:c r="G81" s="16" t="str">
        <x:v>Using an Apache project does not supply the bank with an incident SLA. The bank or a provider must own the entire production service.</x:v>
      </x:c>
    </x:row>
    <x:row r="82" ht="85" customHeight="1">
      <x:c r="A82" s="2"/>
      <x:c r="B82" s="17" t="str">
        <x:v>Dependencies and limits</x:v>
      </x:c>
      <x:c r="C82" s="16" t="str">
        <x:v>PowerCenter administrator, ETL developers, DBAs and platform on-call coverage. Check whether add-ons have separate support routes.</x:v>
      </x:c>
      <x:c r="D82" s="16" t="str">
        <x:v>ODI/KM specialist, DBA and agent/repository administration. Name upgrade owners for middleware and custom KMs.</x:v>
      </x:c>
      <x:c r="E82" s="16" t="str">
        <x:v>SQL/analytics engineering plus ingestion, CI, Python/driver and scheduler operations. Assign responsibility for package/adapter fixes.</x:v>
      </x:c>
      <x:c r="F82" s="16" t="str">
        <x:v>Cluster, storage, security and data-engineering roles. Maintain multi-service upgrade sequencing and compatibility matrices.</x:v>
      </x:c>
      <x:c r="G82" s="16" t="str">
        <x:v>Distributed-systems, data-engineering and platform teams. Operate Spark, JDK/Python, drivers, orchestrator and storage dependencies.</x:v>
      </x:c>
    </x:row>
    <x:row r="83" ht="85" customHeight="1">
      <x:c r="A83" s="2"/>
      <x:c r="B83" s="17" t="str">
        <x:v>Bank implications (assessment)</x:v>
      </x:c>
      <x:c r="C83" s="16" t="str">
        <x:v>Vendor support may help; the bank still needs local diagnostic skills and access to state/logs. Do not assume a compulsory cloud migration.</x:v>
      </x:c>
      <x:c r="D83" s="16" t="str">
        <x:v>Existing Oracle skills may help; measure ODI/KM and production-support skills separately. Shared branding does not establish one incident owner.</x:v>
      </x:c>
      <x:c r="E83" s="16" t="str">
        <x:v>Low license expense does not imply low operating effort. Coordination across fragmented support must be included in the offer.</x:v>
      </x:c>
      <x:c r="F83" s="16" t="str">
        <x:v>Evaluate platform benefits together with staffing and workload sufficient to sustain continuous cluster operations.</x:v>
      </x:c>
      <x:c r="G83" s="16" t="str">
        <x:v>The institution owns custom frameworks and version compatibility. Service continuity after staff changes is a material selection criterion.</x:v>
      </x:c>
    </x:row>
    <x:row r="84" ht="85" customHeight="1">
      <x:c r="A84" s="2"/>
      <x:c r="B84" s="17" t="str">
        <x:v>Demonstrate in a common test</x:v>
      </x:c>
      <x:c r="C84" s="16" t="str">
        <x:v>Run diagnosis, vendor escalation, patching and repository restore with the bank’s on-call team. Measure intervention time and roles involved.</x:v>
      </x:c>
      <x:c r="D84" s="16" t="str">
        <x:v>Use a runbook distinguishing KM, agent and Oracle faults. Show repository backups, driver changes and upgrade rollback.</x:v>
      </x:c>
      <x:c r="E84" s="16" t="str">
        <x:v>Show who fixes an adapter/dependency failure. Rebuild from local packages and perform a team handover.</x:v>
      </x:c>
      <x:c r="F84" s="16" t="str">
        <x:v>Run a service-failure and rolling/planned-maintenance exercise. Record unavailable components and contractual support boundaries.</x:v>
      </x:c>
      <x:c r="G84" s="16" t="str">
        <x:v>Exercise ownership for driver, cluster and connector failures. Measure patching, capacity expansion, handover and clean-rebuild effort.</x:v>
      </x:c>
    </x:row>
    <x:row r="85" ht="33" customHeight="1">
      <x:c r="A85" s="2"/>
      <x:c r="B85" s="19" t="str">
        <x:v>Source IDs</x:v>
      </x:c>
      <x:c r="C85" s="19" t="str">
        <x:v>I2, I4; quote required</x:v>
      </x:c>
      <x:c r="D85" s="19" t="str">
        <x:v>O2, O3; quote required</x:v>
      </x:c>
      <x:c r="E85" s="19" t="str">
        <x:v>D1, D4</x:v>
      </x:c>
      <x:c r="F85" s="19" t="str">
        <x:v>C1; quote required</x:v>
      </x:c>
      <x:c r="G85" s="19" t="str">
        <x:v>S3, S4; service agreement</x:v>
      </x:c>
    </x:row>
    <x:row r="86" ht="24" customHeight="1">
      <x:c r="A86" s="2"/>
      <x:c r="B86" s="2"/>
      <x:c r="C86" s="2"/>
      <x:c r="D86" s="2"/>
      <x:c r="E86" s="2"/>
      <x:c r="F86" s="2"/>
      <x:c r="G86" s="2"/>
    </x:row>
    <x:row r="87" ht="29" customHeight="1">
      <x:c r="A87" s="2"/>
      <x:c r="B87" s="15" t="str">
        <x:v>10  Five-year cost and exit effort</x:v>
      </x:c>
      <x:c r="C87" s="2"/>
      <x:c r="D87" s="2"/>
      <x:c r="E87" s="2"/>
      <x:c r="F87" s="2"/>
      <x:c r="G87" s="2"/>
    </x:row>
    <x:row r="88" ht="27" customHeight="1">
      <x:c r="A88" s="2"/>
      <x:c r="B88" s="2" t="str">
        <x:v>Initial implementation plus five operating years on a common scope, including production, test and DR. Prices are not yet obtained.</x:v>
      </x:c>
      <x:c r="C88" s="2"/>
      <x:c r="D88" s="2"/>
      <x:c r="E88" s="2"/>
      <x:c r="F88" s="2"/>
      <x:c r="G88" s="2"/>
    </x:row>
    <x:row r="89" ht="40" customHeight="1">
      <x:c r="A89" s="2"/>
      <x:c r="B89" s="7" t="str">
        <x:v>Comparison dimension</x:v>
      </x:c>
      <x:c r="C89" s="7" t="str">
        <x:v>Informatica
PowerCenter</x:v>
      </x:c>
      <x:c r="D89" s="7" t="str">
        <x:v>Oracle ODI</x:v>
      </x:c>
      <x:c r="E89" s="7" t="str">
        <x:v>dbt Core v1
+ Oracle</x:v>
      </x:c>
      <x:c r="F89" s="7" t="str">
        <x:v>Cloudera
(on premises)</x:v>
      </x:c>
      <x:c r="G89" s="7" t="str">
        <x:v>Apache Spark
(on premises)</x:v>
      </x:c>
    </x:row>
    <x:row r="90" ht="85" customHeight="1">
      <x:c r="A90" s="2"/>
      <x:c r="B90" s="17" t="str">
        <x:v>Cost structure (assessment)</x:v>
      </x:c>
      <x:c r="C90" s="16" t="str">
        <x:v>PowerCenter, connectors/CDC and any catalog/quality products; engine/repository infrastructure; maintenance, support and staffing. Validate bundle contents line by line.</x:v>
      </x:c>
      <x:c r="D90" s="16" t="str">
        <x:v>ODI, any CDC/middleware, repositories/agents, incremental Oracle compute, development, DBA and support. Confirm existing entitlements in writing.</x:v>
      </x:c>
      <x:c r="E90" s="16" t="str">
        <x:v>License terms for the selected Core/adapter; ingestion/CDC, scheduler, CI, Oracle capacity and engineering/operations. Open source does not mean zero service cost.</x:v>
      </x:c>
      <x:c r="F90" s="16" t="str">
        <x:v>Platform subscriptions, nodes, storage, backup/DR, optional services, ingestion, network and cluster operations. Include the Oracle return path.</x:v>
      </x:c>
      <x:c r="G90" s="16" t="str">
        <x:v>Cluster, storage, ingestion, orchestration, security, support and engineering. Add custom-framework development/maintenance to hardware costs.</x:v>
      </x:c>
    </x:row>
    <x:row r="91" ht="85" customHeight="1">
      <x:c r="A91" s="2"/>
      <x:c r="B91" s="17" t="str">
        <x:v>Separate in the quote</x:v>
      </x:c>
      <x:c r="C91" s="16" t="str">
        <x:v>License metric, connectors/CDC, HA/DR and non-production rights; annual increases, professional services and excluded products.</x:v>
      </x:c>
      <x:c r="D91" s="16" t="str">
        <x:v>License metric, products/releases, non-production/DR rights and the exact deployments/capacity covered by existing licenses.</x:v>
      </x:c>
      <x:c r="E91" s="16" t="str">
        <x:v>Paid components, engineer/operator effort, adapter support agreement, upgrades and Oracle resource costs.</x:v>
      </x:c>
      <x:c r="F91" s="16" t="str">
        <x:v>Base and optional services, minimum production/DR footprint, storage growth, hardware refresh and support increases.</x:v>
      </x:c>
      <x:c r="G91" s="16" t="str">
        <x:v>Per-component services, FTE/day estimates, hardware refresh, disk/network growth, on-call and security maintenance.</x:v>
      </x:c>
    </x:row>
    <x:row r="92" ht="85" customHeight="1">
      <x:c r="A92" s="2"/>
      <x:c r="B92" s="17" t="str">
        <x:v>Exit risk (assessment)</x:v>
      </x:c>
      <x:c r="C92" s="16" t="str">
        <x:v>Migrating mappings, workflows and repository metadata, including rewriting in another tool. An export file is not an equivalent runnable pipeline.</x:v>
      </x:c>
      <x:c r="D92" s="16" t="str">
        <x:v>Generated SQL may be reusable; separately estimate migration of KMs, scenarios, topology and Load Plan dependencies.</x:v>
      </x:c>
      <x:c r="E92" s="16" t="str">
        <x:v>SQL and Git files can be moved; Oracle SQL, macros, materializations and ingestion/orchestration dependencies may require rework.</x:v>
      </x:c>
      <x:c r="F92" s="16" t="str">
        <x:v>Assess moving table formats, service APIs, security policies, application code and data copies to another platform.</x:v>
      </x:c>
      <x:c r="G92" s="16" t="str">
        <x:v>Accessible code can still depend on frameworks, libraries, table formats, deployment and operating procedures that create migration costs.</x:v>
      </x:c>
    </x:row>
    <x:row r="93" ht="85" customHeight="1">
      <x:c r="A93" s="2"/>
      <x:c r="B93" s="17" t="str">
        <x:v>Common calculation/test</x:v>
      </x:c>
      <x:c r="C93" s="16" t="str">
        <x:v>Obtain a five-year quote for the same volumes and service levels. Export a representative flow and estimate conversion to another execution path.</x:v>
      </x:c>
      <x:c r="D93" s="16" t="str">
        <x:v>Separate incremental cash costs from consumption of shared Oracle capacity. Measure exit effort for a representative KM/scenario.</x:v>
      </x:c>
      <x:c r="E93" s="16" t="str">
        <x:v>Score the complete cost, including ingestion and all operational components. Trial migration of a model and scheduling chain to another runner.</x:v>
      </x:c>
      <x:c r="F93" s="16" t="str">
        <x:v>Stress capacity and staffing-growth assumptions. Compare additional platform benefits with total cost while holding Exadata as the common target.</x:v>
      </x:c>
      <x:c r="G93" s="16" t="str">
        <x:v>Calculate low/base/high volume and staffing cases. Estimate repackaging and running a representative job in a clean alternative environment.</x:v>
      </x:c>
    </x:row>
    <x:row r="94" ht="33" customHeight="1">
      <x:c r="A94" s="2"/>
      <x:c r="B94" s="19" t="str">
        <x:v>Source IDs</x:v>
      </x:c>
      <x:c r="C94" s="19" t="str">
        <x:v>T1</x:v>
      </x:c>
      <x:c r="D94" s="19" t="str">
        <x:v>T1</x:v>
      </x:c>
      <x:c r="E94" s="19" t="str">
        <x:v>T1</x:v>
      </x:c>
      <x:c r="F94" s="19" t="str">
        <x:v>T1</x:v>
      </x:c>
      <x:c r="G94" s="19" t="str">
        <x:v>T1</x:v>
      </x:c>
    </x:row>
    <x:row r="95" ht="24" customHeight="1">
      <x:c r="A95" s="2"/>
      <x:c r="B95" s="2"/>
      <x:c r="C95" s="2"/>
      <x:c r="D95" s="2"/>
      <x:c r="E95" s="2"/>
      <x:c r="F95" s="2"/>
      <x:c r="G95" s="2"/>
    </x:row>
    <x:row r="96" ht="24" customHeight="1">
      <x:c r="A96" s="2"/>
      <x:c r="B96" s="2"/>
      <x:c r="C96" s="2"/>
      <x:c r="D96" s="2"/>
      <x:c r="E96" s="2"/>
      <x:c r="F96" s="2"/>
      <x:c r="G96" s="2"/>
    </x:row>
    <x:row r="97" ht="24" customHeight="1">
      <x:c r="A97" s="2"/>
      <x:c r="B97" s="2"/>
      <x:c r="C97" s="2"/>
      <x:c r="D97" s="2"/>
      <x:c r="E97" s="2"/>
      <x:c r="F97" s="2"/>
      <x:c r="G97" s="2"/>
    </x:row>
    <x:row r="98" ht="24" customHeight="1">
      <x:c r="A98" s="2"/>
      <x:c r="B98" s="2"/>
      <x:c r="C98" s="2"/>
      <x:c r="D98" s="2"/>
      <x:c r="E98" s="2"/>
      <x:c r="F98" s="2"/>
      <x:c r="G98" s="2"/>
    </x:row>
    <x:row r="99" ht="24" customHeight="1">
      <x:c r="A99" s="2"/>
      <x:c r="B99" s="2"/>
      <x:c r="C99" s="2"/>
      <x:c r="D99" s="2"/>
      <x:c r="E99" s="2"/>
      <x:c r="F99" s="2"/>
      <x:c r="G99" s="2"/>
    </x:row>
    <x:row r="100" ht="24" customHeight="1">
      <x:c r="A100" s="2"/>
      <x:c r="B100" s="2"/>
      <x:c r="C100" s="2"/>
      <x:c r="D100" s="2"/>
      <x:c r="E100" s="2"/>
      <x:c r="F100" s="2"/>
      <x:c r="G100" s="2"/>
    </x:row>
    <x:row r="101" ht="24" customHeight="1">
      <x:c r="A101" s="2"/>
      <x:c r="B101" s="2"/>
      <x:c r="C101" s="2"/>
      <x:c r="D101" s="2"/>
      <x:c r="E101" s="2"/>
      <x:c r="F101" s="2"/>
      <x:c r="G10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8" hidden="0" customWidth="1"/>
    <x:col min="3" max="3" width="33" hidden="0" customWidth="1"/>
    <x:col min="4" max="4" width="86" hidden="0" customWidth="1"/>
    <x:col min="5" max="5" width="58" hidden="0" customWidth="1"/>
  </x:cols>
  <x:sheetData>
    <x:row r="1" ht="24" customHeight="1">
      <x:c r="A1" s="2"/>
      <x:c r="B1" s="2"/>
      <x:c r="C1" s="2"/>
      <x:c r="D1" s="2"/>
      <x:c r="E1" s="2"/>
    </x:row>
    <x:row r="2" ht="30" customHeight="1">
      <x:c r="A2" s="2"/>
      <x:c r="B2" s="3" t="str">
        <x:v>Sources and evidence limitations</x:v>
      </x:c>
      <x:c r="C2" s="2"/>
      <x:c r="D2" s="2"/>
      <x:c r="E2" s="2"/>
    </x:row>
    <x:row r="3" ht="24" customHeight="1">
      <x:c r="A3" s="2"/>
      <x:c r="B3" s="2" t="str">
        <x:v>Reviewed 12 October 2026. Documentation describes capabilities; it does not replace bank testing or commercial acceptance.</x:v>
      </x:c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40" customHeight="1">
      <x:c r="A5" s="2"/>
      <x:c r="B5" s="7" t="str">
        <x:v>ID</x:v>
      </x:c>
      <x:c r="C5" s="7" t="str">
        <x:v>Source</x:v>
      </x:c>
      <x:c r="D5" s="7" t="str">
        <x:v>Link / repository note</x:v>
      </x:c>
      <x:c r="E5" s="7" t="str">
        <x:v>Limitation</x:v>
      </x:c>
    </x:row>
    <x:row r="6" ht="88" customHeight="1">
      <x:c r="A6" s="2"/>
      <x:c r="B6" s="16" t="str">
        <x:v>O1</x:v>
      </x:c>
      <x:c r="C6" s="16" t="str">
        <x:v>ODI architecture and KMs</x:v>
      </x:c>
      <x:c r="D6" s="16" t="str">
        <x:v>https://docs.oracle.com/en/middleware/fusion-middleware/data-integrator/14.1.2/odiun/understanding-oracle-data-integrator-concepts.html</x:v>
      </x:c>
      <x:c r="E6" s="16" t="str">
        <x:v>14.1.2 documentation; confirm the exact release, entitlements and source/target compatibility for the bank.</x:v>
      </x:c>
    </x:row>
    <x:row r="7" ht="88" customHeight="1">
      <x:c r="A7" s="2"/>
      <x:c r="B7" s="16" t="str">
        <x:v>O2</x:v>
      </x:c>
      <x:c r="C7" s="16" t="str">
        <x:v>ODI Load Plans and recovery</x:v>
      </x:c>
      <x:c r="D7" s="16" t="str">
        <x:v>https://docs.oracle.com/en/middleware/fusion-middleware/data-integrator/14.1.2/odidg/using-load-plans.html</x:v>
      </x:c>
      <x:c r="E7" s="16" t="str">
        <x:v>Test restart against transaction boundaries. Execution documentation is also listed under O4.</x:v>
      </x:c>
    </x:row>
    <x:row r="8" ht="88" customHeight="1">
      <x:c r="A8" s="2"/>
      <x:c r="B8" s="16" t="str">
        <x:v>O3</x:v>
      </x:c>
      <x:c r="C8" s="16" t="str">
        <x:v>ODI version control</x:v>
      </x:c>
      <x:c r="D8" s="16" t="str">
        <x:v>https://docs.oracle.com/en/middleware/fusion-middleware/data-integrator/14.1.2/odidg/integrating-odi-version-control-systems.html</x:v>
      </x:c>
      <x:c r="E8" s="16" t="str">
        <x:v>Git/VCS integration description; measure the bank’s CI and object-merging workflow.</x:v>
      </x:c>
    </x:row>
    <x:row r="9" ht="88" customHeight="1">
      <x:c r="A9" s="2"/>
      <x:c r="B9" s="16" t="str">
        <x:v>O4</x:v>
      </x:c>
      <x:c r="C9" s="16" t="str">
        <x:v>ODI process execution</x:v>
      </x:c>
      <x:c r="D9" s="16" t="str">
        <x:v>https://docs.oracle.com/en/middleware/fusion-middleware/data-integrator/14.1.2/odiad/running-integration-processes.html</x:v>
      </x:c>
      <x:c r="E9" s="16" t="str">
        <x:v>Open JDBC transaction state is not retained after an error; select restart points accordingly.</x:v>
      </x:c>
    </x:row>
    <x:row r="10" ht="88" customHeight="1">
      <x:c r="A10" s="2"/>
      <x:c r="B10" s="16" t="str">
        <x:v>I1</x:v>
      </x:c>
      <x:c r="C10" s="16" t="str">
        <x:v>PowerCenter pushdown</x:v>
      </x:c>
      <x:c r="D10" s="16" t="str">
        <x:v>https://docs.informatica.com/data-integration/powercenter/10-5-9/advanced-workflow-guide/pushdown-optimization-and-transformations/update-strategy-transformation.html</x:v>
      </x:c>
      <x:c r="E10" s="16" t="str">
        <x:v>Verified through the search index; direct access returned 403. Do not generalize transformation support to every mapping.</x:v>
      </x:c>
    </x:row>
    <x:row r="11" ht="88" customHeight="1">
      <x:c r="A11" s="2"/>
      <x:c r="B11" s="16" t="str">
        <x:v>I2</x:v>
      </x:c>
      <x:c r="C11" s="16" t="str">
        <x:v>PowerCenter recovery</x:v>
      </x:c>
      <x:c r="D11" s="16" t="str">
        <x:v>https://docs.informatica.com/data-integration/shared-content-for-data-integration/10-5/administrator-guide/high-availability/recovery.html</x:v>
      </x:c>
      <x:c r="E11" s="16" t="str">
        <x:v>10.5-family documentation; confirm the selected 10.5.x release, license and state storage.</x:v>
      </x:c>
    </x:row>
    <x:row r="12" ht="88" customHeight="1">
      <x:c r="A12" s="2"/>
      <x:c r="B12" s="16" t="str">
        <x:v>I3</x:v>
      </x:c>
      <x:c r="C12" s="16" t="str">
        <x:v>CDI-PC components</x:v>
      </x:c>
      <x:c r="D12" s="16" t="str">
        <x:v>https://docs.informatica.com/integration-cloud/cloud-data-integration-for-powercenter/current-version/installation-guide-for-cloud-data-integration-for-powercenter--c/appendix-a--cdi-pc-components/components.html</x:v>
      </x:c>
      <x:c r="E12" s="16" t="str">
        <x:v>Search-index evidence of IDMC services and cloud domain connectivity. Distinguish this from fully local PowerCenter.</x:v>
      </x:c>
    </x:row>
    <x:row r="13" ht="88" customHeight="1">
      <x:c r="A13" s="2"/>
      <x:c r="B13" s="16" t="str">
        <x:v>I4</x:v>
      </x:c>
      <x:c r="C13" s="16" t="str">
        <x:v>PowerCenter team development</x:v>
      </x:c>
      <x:c r="D13" s="16" t="str">
        <x:v>https://docs.informatica.com/content/dam/source/GUID-2/GUID-299EC712-F9AA-4FF9-B836-FD2F641BF712/1/en/0849_TeamBasedDevelopmentInThePowerCenterRepositoryAndTheModelRepository_en_H2L.pdf</x:v>
      </x:c>
      <x:c r="E13" s="16" t="str">
        <x:v>PowerCenter and Model repositories differ. This older document requires confirmation against the offered release and entitlements.</x:v>
      </x:c>
    </x:row>
    <x:row r="14" ht="88" customHeight="1">
      <x:c r="A14" s="2"/>
      <x:c r="B14" s="16" t="str">
        <x:v>D1</x:v>
      </x:c>
      <x:c r="C14" s="16" t="str">
        <x:v>dbt v1 Oracle setup</x:v>
      </x:c>
      <x:c r="D14" s="16" t="str">
        <x:v>https://docs.getdbt.com/docs/local/connect-data-platform/oracle-setup</x:v>
      </x:c>
      <x:c r="E14" s="16" t="str">
        <x:v>Oracle-maintained adapter; dbt support is listed as not supported. Notes ephemeral limits and cloud Python scope. Not an Exadata acceptance test.</x:v>
      </x:c>
    </x:row>
    <x:row r="15" ht="88" customHeight="1">
      <x:c r="A15" s="2"/>
      <x:c r="B15" s="16" t="str">
        <x:v>D2</x:v>
      </x:c>
      <x:c r="C15" s="16" t="str">
        <x:v>dbt incremental models</x:v>
      </x:c>
      <x:c r="D15" s="16" t="str">
        <x:v>https://docs.getdbt.com/docs/build/incremental-models</x:v>
      </x:c>
      <x:c r="E15" s="16" t="str">
        <x:v>General design documentation; confirm supported strategies and schema behaviour in the pinned Oracle adapter.</x:v>
      </x:c>
    </x:row>
    <x:row r="16" ht="88" customHeight="1">
      <x:c r="A16" s="2"/>
      <x:c r="B16" s="16" t="str">
        <x:v>D3</x:v>
      </x:c>
      <x:c r="C16" s="16" t="str">
        <x:v>dbt data tests</x:v>
      </x:c>
      <x:c r="D16" s="16" t="str">
        <x:v>https://docs.getdbt.com/docs/build/data-tests</x:v>
      </x:c>
      <x:c r="E16" s="16" t="str">
        <x:v>Purpose of data tests. Do not transfer every documented product/release feature to Core v1.</x:v>
      </x:c>
    </x:row>
    <x:row r="17" ht="88" customHeight="1">
      <x:c r="A17" s="2"/>
      <x:c r="B17" s="16" t="str">
        <x:v>D4</x:v>
      </x:c>
      <x:c r="C17" s="16" t="str">
        <x:v>Oracle dbt adapter repository</x:v>
      </x:c>
      <x:c r="D17" s="16" t="str">
        <x:v>https://github.com/oracle/dbt-oracle</x:v>
      </x:c>
      <x:c r="E17" s="16" t="str">
        <x:v>Maintenance and source-code reference; not contractual support or certification for every Oracle deployment.</x:v>
      </x:c>
    </x:row>
    <x:row r="18" ht="88" customHeight="1">
      <x:c r="A18" s="2"/>
      <x:c r="B18" s="16" t="str">
        <x:v>D5</x:v>
      </x:c>
      <x:c r="C18" s="16" t="str">
        <x:v>dbt usage statistics</x:v>
      </x:c>
      <x:c r="D18" s="16" t="str">
        <x:v>https://docs.getdbt.com/reference/global-configs/usage-stats</x:v>
      </x:c>
      <x:c r="E18" s="16" t="str">
        <x:v>Rechecked on 12 October 2026; test settings and blocked egress using the pinned release.</x:v>
      </x:c>
    </x:row>
    <x:row r="19" ht="88" customHeight="1">
      <x:c r="A19" s="2"/>
      <x:c r="B19" s="16" t="str">
        <x:v>C1</x:v>
      </x:c>
      <x:c r="C19" s="16" t="str">
        <x:v>Cloudera local reference architecture</x:v>
      </x:c>
      <x:c r="D19" s="16" t="str">
        <x:v>https://docs.cloudera.com/cdp-reference-architectures/latest/cdp-pvc-base-ra/topics/ra-cdpdc-abstract.html</x:v>
      </x:c>
      <x:c r="E19" s="16" t="str">
        <x:v>Illustrative service architecture; not a substitute for the official support matrix or commercial offer.</x:v>
      </x:c>
    </x:row>
    <x:row r="20" ht="88" customHeight="1">
      <x:c r="A20" s="2"/>
      <x:c r="B20" s="16" t="str">
        <x:v>C2</x:v>
      </x:c>
      <x:c r="C20" s="16" t="str">
        <x:v>Cloudera air-gap installation</x:v>
      </x:c>
      <x:c r="D20" s="16" t="str">
        <x:v>https://docs.cloudera.com/cdp-private-cloud-data-services/1.5.5/installation/topics/cdppvc-installation-airgap.html</x:v>
      </x:c>
      <x:c r="E20" s="16" t="str">
        <x:v>Installation example for 1.5.5; separately verify that every optional service remains on premises.</x:v>
      </x:c>
    </x:row>
    <x:row r="21" ht="88" customHeight="1">
      <x:c r="A21" s="2"/>
      <x:c r="B21" s="16" t="str">
        <x:v>C3</x:v>
      </x:c>
      <x:c r="C21" s="16" t="str">
        <x:v>Cloudera Flow Management dependencies</x:v>
      </x:c>
      <x:c r="D21" s="16" t="str">
        <x:v>https://docs.cloudera.com/cfm/4.10.0/deployment/topics/cfm-install-cdp.html</x:v>
      </x:c>
      <x:c r="E21" s="16" t="str">
        <x:v>Base/Manager and security services for NiFi installation. Price subscription scope separately.</x:v>
      </x:c>
    </x:row>
    <x:row r="22" ht="88" customHeight="1">
      <x:c r="A22" s="2"/>
      <x:c r="B22" s="16" t="str">
        <x:v>S1</x:v>
      </x:c>
      <x:c r="C22" s="16" t="str">
        <x:v>Spark JDBC</x:v>
      </x:c>
      <x:c r="D22" s="16" t="str">
        <x:v>https://spark.apache.org/docs/latest/sql-data-sources-jdbc.html</x:v>
      </x:c>
      <x:c r="E22" s="16" t="str">
        <x:v>The page described 4.2.0 at review; pin the production release. Test connection limits and pushdown behaviour for that release.</x:v>
      </x:c>
    </x:row>
    <x:row r="23" ht="88" customHeight="1">
      <x:c r="A23" s="2"/>
      <x:c r="B23" s="16" t="str">
        <x:v>S2</x:v>
      </x:c>
      <x:c r="C23" s="16" t="str">
        <x:v>Spark Structured Streaming</x:v>
      </x:c>
      <x:c r="D23" s="16" t="str">
        <x:v>https://spark.apache.org/docs/latest/streaming/apis-on-dataframes-and-datasets.html</x:v>
      </x:c>
      <x:c r="E23" s="16" t="str">
        <x:v>Design checkpoint and sink behaviour end to end; do not assume automatic exactly-once Oracle publication.</x:v>
      </x:c>
    </x:row>
    <x:row r="24" ht="88" customHeight="1">
      <x:c r="A24" s="2"/>
      <x:c r="B24" s="16" t="str">
        <x:v>S3</x:v>
      </x:c>
      <x:c r="C24" s="16" t="str">
        <x:v>Spark security</x:v>
      </x:c>
      <x:c r="D24" s="16" t="str">
        <x:v>https://spark.apache.org/docs/latest/security.html</x:v>
      </x:c>
      <x:c r="E24" s="16" t="str">
        <x:v>Engine settings; separately scope cluster-manager and external-component security.</x:v>
      </x:c>
    </x:row>
    <x:row r="25" ht="88" customHeight="1">
      <x:c r="A25" s="2"/>
      <x:c r="B25" s="16" t="str">
        <x:v>S4</x:v>
      </x:c>
      <x:c r="C25" s="16" t="str">
        <x:v>Spark application submission</x:v>
      </x:c>
      <x:c r="D25" s="16" t="str">
        <x:v>https://spark.apache.org/docs/latest/submitting-applications.html</x:v>
      </x:c>
      <x:c r="E25" s="16" t="str">
        <x:v>spark-submit and packaging; not an enterprise business calendar or service SLA.</x:v>
      </x:c>
    </x:row>
    <x:row r="26" ht="88" customHeight="1">
      <x:c r="A26" s="2"/>
      <x:c r="B26" s="16" t="str">
        <x:v>T1</x:v>
      </x:c>
      <x:c r="C26" s="16" t="str">
        <x:v>Common costing method</x:v>
      </x:c>
      <x:c r="D26" s="16" t="str">
        <x:v>ETL Vendor RFI and Commercial Evaluation.md</x:v>
      </x:c>
      <x:c r="E26" s="16" t="str">
        <x:v>Repository methodology, not a price source. Comparable quotes, staffing estimates and capacity assumptions remain outstanding.</x:v>
      </x:c>
    </x:row>
    <x:row r="27" ht="88" customHeight="1">
      <x:c r="A27" s="2"/>
      <x:c r="B27" s="16" t="str">
        <x:v>B1</x:v>
      </x:c>
      <x:c r="C27" s="16" t="str">
        <x:v>Bank context and boundary</x:v>
      </x:c>
      <x:c r="D27" s="16" t="str">
        <x:v>Fiziksel Topoloji - Teknik Taraf; PowerDesigner Bilgilendirme; user confirmation, 28 September 2026</x:v>
      </x:c>
      <x:c r="E27" s="16" t="str">
        <x:v>Repository notes and user requirement. Confirm operational signals, capacity, Automic and target architecture with the bank.</x:v>
      </x:c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</x:sheetData>
  <x:pageMargins left="0.7" right="0.7" top="0.75" bottom="0.75" header="0.3" footer="0.3"/>
</x:worksheet>
</file>