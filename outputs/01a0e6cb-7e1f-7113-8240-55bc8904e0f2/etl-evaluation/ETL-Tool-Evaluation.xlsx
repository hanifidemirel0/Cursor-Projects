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969a05b43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ee1918315fa94bac"/>
    <x:sheet xmlns:r="http://schemas.openxmlformats.org/officeDocument/2006/relationships" name="Scorecard" sheetId="2" r:id="R76c3e02fe8e64662"/>
    <x:sheet xmlns:r="http://schemas.openxmlformats.org/officeDocument/2006/relationships" name="Gates" sheetId="3" r:id="Rc781a62ef8844dde"/>
    <x:sheet xmlns:r="http://schemas.openxmlformats.org/officeDocument/2006/relationships" name="PoC Results" sheetId="4" r:id="R975042358bb04fc5"/>
    <x:sheet xmlns:r="http://schemas.openxmlformats.org/officeDocument/2006/relationships" name="Costs" sheetId="5" r:id="R86e622b0c291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"/>
    <x:numFmt numFmtId="202" formatCode="yyyy-mm-dd"/>
    <x:numFmt numFmtId="203" formatCode="#,##0.00"/>
  </x:numFmts>
  <x:fonts count="4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858"/>
      </x:patternFill>
    </x:fill>
    <x:fill>
      <x:patternFill patternType="solid">
        <x:fgColor rgb="FFFFF3CC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  <x:dxf>
      <x:font>
        <x:color rgb="FF9B1C1C"/>
      </x:font>
      <x:fill>
        <x:patternFill patternType="solid">
          <x:bgColor rgb="FFFD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056da6da04f65" /><Relationship Type="http://schemas.openxmlformats.org/officeDocument/2006/relationships/theme" Target="/xl/theme/theme1.xml" Id="R9c05a983e7cc42c7" /><Relationship Type="http://schemas.openxmlformats.org/officeDocument/2006/relationships/sharedStrings" Target="/xl/sharedStrings.xml" Id="R3fa83410497c4a5e" /><Relationship Type="http://schemas.openxmlformats.org/officeDocument/2006/relationships/worksheet" Target="/xl/worksheets/sheet1.xml" Id="Ree1918315fa94bac" /><Relationship Type="http://schemas.openxmlformats.org/officeDocument/2006/relationships/worksheet" Target="/xl/worksheets/sheet2.xml" Id="R76c3e02fe8e64662" /><Relationship Type="http://schemas.openxmlformats.org/officeDocument/2006/relationships/worksheet" Target="/xl/worksheets/sheet3.xml" Id="Rc781a62ef8844dde" /><Relationship Type="http://schemas.openxmlformats.org/officeDocument/2006/relationships/worksheet" Target="/xl/worksheets/sheet4.xml" Id="R975042358bb04fc5" /><Relationship Type="http://schemas.openxmlformats.org/officeDocument/2006/relationships/worksheet" Target="/xl/worksheets/sheet5.xml" Id="R86e622b0c2914c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3858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" hidden="0" customWidth="1"/>
    <x:col min="2" max="2" width="8" hidden="0" customWidth="1"/>
    <x:col min="3" max="3" width="29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2"/>
      <x:c r="B2" s="3" t="str">
        <x:v>ETL tool comparison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2" t="str">
        <x:v>Required: runtime, management, metadata and logs remain on premises.</x:v>
      </x:c>
      <x:c r="C3" s="2"/>
      <x:c r="D3" s="2"/>
      <x:c r="E3" s="2"/>
      <x:c r="F3" s="2"/>
      <x:c r="G3" s="2"/>
      <x:c r="H3" s="2"/>
      <x:c r="I3" s="2"/>
    </x:row>
    <x:row r="4">
      <x:c r="A4" s="2"/>
      <x:c r="B4" s="2" t="str">
        <x:v>Research: 28 September 2026. Capability assessment only; no PoC or commercial scores yet.</x:v>
      </x:c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2"/>
      <x:c r="B6" s="7" t="str">
        <x:v>ID</x:v>
      </x:c>
      <x:c r="C6" s="7" t="str">
        <x:v>Evaluation area</x:v>
      </x:c>
      <x:c r="D6" s="7" t="str">
        <x:v>Informatica PowerCenter</x:v>
      </x:c>
      <x:c r="E6" s="7" t="str">
        <x:v>Oracle ODI</x:v>
      </x:c>
      <x:c r="F6" s="7" t="str">
        <x:v>dbt Core v1 + Oracle</x:v>
      </x:c>
      <x:c r="G6" s="7" t="str">
        <x:v>Cloudera on premises</x:v>
      </x:c>
      <x:c r="H6" s="7" t="str">
        <x:v>Apache Spark on premises</x:v>
      </x:c>
      <x:c r="I6" s="7" t="str">
        <x:v>Evidence IDs</x:v>
      </x:c>
    </x:row>
    <x:row r="7" ht="52" customHeight="1">
      <x:c r="A7" s="2"/>
      <x:c r="B7" s="9" t="str">
        <x:v>M01</x:v>
      </x:c>
      <x:c r="C7" s="9" t="str">
        <x:v>Candidate boundary</x:v>
      </x:c>
      <x:c r="D7" s="9" t="str">
        <x:v>PowerCenter on premises; not IDMC/CDI-PC</x:v>
      </x:c>
      <x:c r="E7" s="9" t="str">
        <x:v>ODI agents + repositories on premises</x:v>
      </x:c>
      <x:c r="F7" s="9" t="str">
        <x:v>Pinned Core v1 + dbt-oracle; separate ingestion</x:v>
      </x:c>
      <x:c r="G7" s="9" t="str">
        <x:v>Named on-prem Base stack; optional services explicit</x:v>
      </x:c>
      <x:c r="H7" s="9" t="str">
        <x:v>Pinned Spark + named supporting stack</x:v>
      </x:c>
      <x:c r="I7" s="9" t="str">
        <x:v>S01,S05,S07,S09,S11; A01</x:v>
      </x:c>
    </x:row>
    <x:row r="8" ht="52" customHeight="1">
      <x:c r="A8" s="2"/>
      <x:c r="B8" s="9" t="str">
        <x:v>M02</x:v>
      </x:c>
      <x:c r="C8" s="9" t="str">
        <x:v>Strict on-premises</x:v>
      </x:c>
      <x:c r="D8" s="9" t="str">
        <x:v>Plausible for PowerCenter; vendor proof needed</x:v>
      </x:c>
      <x:c r="E8" s="9" t="str">
        <x:v>Plausible; prove complete deployment</x:v>
      </x:c>
      <x:c r="F8" s="9" t="str">
        <x:v>Plausible; local runners, docs, logs and packages</x:v>
      </x:c>
      <x:c r="G8" s="9" t="str">
        <x:v>Use on-prem edition; prove every selected service</x:v>
      </x:c>
      <x:c r="H8" s="9" t="str">
        <x:v>Self-host all components; prove no egress</x:v>
      </x:c>
      <x:c r="I8" s="9" t="str">
        <x:v>U01,S01,S05,S10,S13,S16</x:v>
      </x:c>
    </x:row>
    <x:row r="9" ht="52" customHeight="1">
      <x:c r="A9" s="2"/>
      <x:c r="B9" s="9" t="str">
        <x:v>M03</x:v>
      </x:c>
      <x:c r="C9" s="9" t="str">
        <x:v>Cloud variants</x:v>
      </x:c>
      <x:c r="D9" s="9" t="str">
        <x:v>IDMC/CDI-PC cloud management excluded</x:v>
      </x:c>
      <x:c r="E9" s="9" t="str">
        <x:v>Exclude cloud-managed ODI service variants</x:v>
      </x:c>
      <x:c r="F9" s="9" t="str">
        <x:v>Hosted dbt platform excluded; v2 is separate assessment</x:v>
      </x:c>
      <x:c r="G9" s="9" t="str">
        <x:v>Cloudera cloud services excluded</x:v>
      </x:c>
      <x:c r="H9" s="9" t="str">
        <x:v>Cloud cluster/control/log services excluded</x:v>
      </x:c>
      <x:c r="I9" s="9" t="str">
        <x:v>U01,S05,S09; A01</x:v>
      </x:c>
    </x:row>
    <x:row r="10" ht="52" customHeight="1">
      <x:c r="A10" s="2"/>
      <x:c r="B10" s="9" t="str">
        <x:v>M04</x:v>
      </x:c>
      <x:c r="C10" s="9" t="str">
        <x:v>Execution location</x:v>
      </x:c>
      <x:c r="D10" s="9" t="str">
        <x:v>Integration engine and eligible DB pushdown</x:v>
      </x:c>
      <x:c r="E10" s="9" t="str">
        <x:v>ELT using selected knowledge modules</x:v>
      </x:c>
      <x:c r="F10" s="9" t="str">
        <x:v>SQL transformations execute on Oracle target</x:v>
      </x:c>
      <x:c r="G10" s="9" t="str">
        <x:v>Spark/Hive cluster; optional database execution</x:v>
      </x:c>
      <x:c r="H10" s="9" t="str">
        <x:v>Cluster processing; selective JDBC pushdown</x:v>
      </x:c>
      <x:c r="I10" s="9" t="str">
        <x:v>S01,S02,S03,S07,S11,S14</x:v>
      </x:c>
    </x:row>
    <x:row r="11" ht="52" customHeight="1">
      <x:c r="A11" s="2"/>
      <x:c r="B11" s="9" t="str">
        <x:v>M05</x:v>
      </x:c>
      <x:c r="C11" s="9" t="str">
        <x:v>Exadata fit</x:v>
      </x:c>
      <x:c r="D11" s="9" t="str">
        <x:v>Test target pushdown and fallback costs</x:v>
      </x:c>
      <x:c r="E11" s="9" t="str">
        <x:v>Direct ELT candidate; inspect generated SQL</x:v>
      </x:c>
      <x:c r="F11" s="9" t="str">
        <x:v>SQL candidate; adapter certification/support gate</x:v>
      </x:c>
      <x:c r="G11" s="9" t="str">
        <x:v>Extra movement if results return to Exadata</x:v>
      </x:c>
      <x:c r="H11" s="9" t="str">
        <x:v>Extra movement if results return to Exadata</x:v>
      </x:c>
      <x:c r="I11" s="9" t="str">
        <x:v>A01; S02,S03,S07,S14</x:v>
      </x:c>
    </x:row>
    <x:row r="12" ht="52" customHeight="1">
      <x:c r="A12" s="2"/>
      <x:c r="B12" s="9" t="str">
        <x:v>M06</x:v>
      </x:c>
      <x:c r="C12" s="9" t="str">
        <x:v>Batch ingestion</x:v>
      </x:c>
      <x:c r="D12" s="9" t="str">
        <x:v>Connectors and loaders; quote exact scope</x:v>
      </x:c>
      <x:c r="E12" s="9" t="str">
        <x:v>Technology-specific modules and agents</x:v>
      </x:c>
      <x:c r="F12" s="9" t="str">
        <x:v>External ingestion required; seeds are not general ETL</x:v>
      </x:c>
      <x:c r="G12" s="9" t="str">
        <x:v>Named ingestion components/connectors required</x:v>
      </x:c>
      <x:c r="H12" s="9" t="str">
        <x:v>JDBC and file APIs; production intake engineered</x:v>
      </x:c>
      <x:c r="I12" s="9" t="str">
        <x:v>S02,S04,S07,S11,S14; A01</x:v>
      </x:c>
    </x:row>
    <x:row r="13" ht="52" customHeight="1">
      <x:c r="A13" s="2"/>
      <x:c r="B13" s="9" t="str">
        <x:v>M07</x:v>
      </x:c>
      <x:c r="C13" s="9" t="str">
        <x:v>Oracle log-based CDC</x:v>
      </x:c>
      <x:c r="D13" s="9" t="str">
        <x:v>PowerExchange or named external CDC; verify</x:v>
      </x:c>
      <x:c r="E13" s="9" t="str">
        <x:v>Named CDC/GoldenGate path; not assumed included</x:v>
      </x:c>
      <x:c r="F13" s="9" t="str">
        <x:v>External CDC required</x:v>
      </x:c>
      <x:c r="G13" s="9" t="str">
        <x:v>External CDC and durable landing/event path</x:v>
      </x:c>
      <x:c r="H13" s="9" t="str">
        <x:v>External CDC and durable landing/event path</x:v>
      </x:c>
      <x:c r="I13" s="9" t="str">
        <x:v>S06,S17; A01</x:v>
      </x:c>
    </x:row>
    <x:row r="14" ht="52" customHeight="1">
      <x:c r="A14" s="2"/>
      <x:c r="B14" s="9" t="str">
        <x:v>M08</x:v>
      </x:c>
      <x:c r="C14" s="9" t="str">
        <x:v>Files and APIs</x:v>
      </x:c>
      <x:c r="D14" s="9" t="str">
        <x:v>Specify connector, protocol and encoding</x:v>
      </x:c>
      <x:c r="E14" s="9" t="str">
        <x:v>Specify file/API module or approved custom step</x:v>
      </x:c>
      <x:c r="F14" s="9" t="str">
        <x:v>Upstream landing service needed</x:v>
      </x:c>
      <x:c r="G14" s="9" t="str">
        <x:v>Specify NiFi/other intake and commercial scope</x:v>
      </x:c>
      <x:c r="H14" s="9" t="str">
        <x:v>Readers plus API/retry/manifest implementation</x:v>
      </x:c>
      <x:c r="I14" s="9" t="str">
        <x:v>A01; S02,S04,S07,S14</x:v>
      </x:c>
    </x:row>
    <x:row r="15" ht="52" customHeight="1">
      <x:c r="A15" s="2"/>
      <x:c r="B15" s="9" t="str">
        <x:v>M09</x:v>
      </x:c>
      <x:c r="C15" s="9" t="str">
        <x:v>History and corrections</x:v>
      </x:c>
      <x:c r="D15" s="9" t="str">
        <x:v>Mappings plus designed correction controls</x:v>
      </x:c>
      <x:c r="E15" s="9" t="str">
        <x:v>Mappings/SQL plus designed correction controls</x:v>
      </x:c>
      <x:c r="F15" s="9" t="str">
        <x:v>Incremental/snapshot design; adapter tests required</x:v>
      </x:c>
      <x:c r="G15" s="9" t="str">
        <x:v>Table/storage design plus correction processing</x:v>
      </x:c>
      <x:c r="H15" s="9" t="str">
        <x:v>Storage/merge strategy plus correction processing</x:v>
      </x:c>
      <x:c r="I15" s="9" t="str">
        <x:v>A01; S02,S07,S15</x:v>
      </x:c>
    </x:row>
    <x:row r="16" ht="52" customHeight="1">
      <x:c r="A16" s="2"/>
      <x:c r="B16" s="9" t="str">
        <x:v>M10</x:v>
      </x:c>
      <x:c r="C16" s="9" t="str">
        <x:v>Operational freshness</x:v>
      </x:c>
      <x:c r="D16" s="9" t="str">
        <x:v>Measure capture-to-publication latency</x:v>
      </x:c>
      <x:c r="E16" s="9" t="str">
        <x:v>Micro-batch possible; dependency SLA governs</x:v>
      </x:c>
      <x:c r="F16" s="9" t="str">
        <x:v>Batch/micro-batch after ingestion; not CDC engine</x:v>
      </x:c>
      <x:c r="G16" s="9" t="str">
        <x:v>Streaming/batch depends on selected services</x:v>
      </x:c>
      <x:c r="H16" s="9" t="str">
        <x:v>Structured Streaming needs source/sink design</x:v>
      </x:c>
      <x:c r="I16" s="9" t="str">
        <x:v>A01; S01,S06,S07,S11,S15</x:v>
      </x:c>
    </x:row>
    <x:row r="17" ht="52" customHeight="1">
      <x:c r="A17" s="2"/>
      <x:c r="B17" s="9" t="str">
        <x:v>M11</x:v>
      </x:c>
      <x:c r="C17" s="9" t="str">
        <x:v>Scheduling and dependencies</x:v>
      </x:c>
      <x:c r="D17" s="9" t="str">
        <x:v>Workflows; integrate bank scheduler</x:v>
      </x:c>
      <x:c r="E17" s="9" t="str">
        <x:v>Load plans/scenarios; integrate bank scheduler</x:v>
      </x:c>
      <x:c r="F17" s="9" t="str">
        <x:v>External on-prem scheduler and run controller</x:v>
      </x:c>
      <x:c r="G17" s="9" t="str">
        <x:v>Choose on-prem orchestrator and operating model</x:v>
      </x:c>
      <x:c r="H17" s="9" t="str">
        <x:v>External orchestrator/run controller required</x:v>
      </x:c>
      <x:c r="I17" s="9" t="str">
        <x:v>A01; S01,S07,S11</x:v>
      </x:c>
    </x:row>
    <x:row r="18" ht="52" customHeight="1">
      <x:c r="A18" s="2"/>
      <x:c r="B18" s="9" t="str">
        <x:v>M12</x:v>
      </x:c>
      <x:c r="C18" s="9" t="str">
        <x:v>Recovery and replay</x:v>
      </x:c>
      <x:c r="D18" s="9" t="str">
        <x:v>Prove restart state and target idempotency</x:v>
      </x:c>
      <x:c r="E18" s="9" t="str">
        <x:v>Prove restart scope and partial commit handling</x:v>
      </x:c>
      <x:c r="F18" s="9" t="str">
        <x:v>Reruns require safe models and publication design</x:v>
      </x:c>
      <x:c r="G18" s="9" t="str">
        <x:v>Prove checkpoints, storage and publishing recovery</x:v>
      </x:c>
      <x:c r="H18" s="9" t="str">
        <x:v>Checkpointing alone does not prove Oracle idempotency</x:v>
      </x:c>
      <x:c r="I18" s="9" t="str">
        <x:v>A01; S01,S15</x:v>
      </x:c>
    </x:row>
    <x:row r="19" ht="52" customHeight="1">
      <x:c r="A19" s="2"/>
      <x:c r="B19" s="9" t="str">
        <x:v>M13</x:v>
      </x:c>
      <x:c r="C19" s="9" t="str">
        <x:v>Quality and reconciliation</x:v>
      </x:c>
      <x:c r="D19" s="9" t="str">
        <x:v>Mapping checks; extra quality products explicit</x:v>
      </x:c>
      <x:c r="E19" s="9" t="str">
        <x:v>Controls/KMs plus business reconciliation</x:v>
      </x:c>
      <x:c r="F19" s="9" t="str">
        <x:v>Tests plus business reconciliation implementation</x:v>
      </x:c>
      <x:c r="G19" s="9" t="str">
        <x:v>Selected tooling plus custom business controls</x:v>
      </x:c>
      <x:c r="H19" s="9" t="str">
        <x:v>Engineered quality and reconciliation framework</x:v>
      </x:c>
      <x:c r="I19" s="9" t="str">
        <x:v>A01; S02,S07,S11</x:v>
      </x:c>
    </x:row>
    <x:row r="20" ht="52" customHeight="1">
      <x:c r="A20" s="2"/>
      <x:c r="B20" s="9" t="str">
        <x:v>M14</x:v>
      </x:c>
      <x:c r="C20" s="9" t="str">
        <x:v>Lineage and audit</x:v>
      </x:c>
      <x:c r="D20" s="9" t="str">
        <x:v>Mapping metadata; enterprise lineage scope explicit</x:v>
      </x:c>
      <x:c r="E20" s="9" t="str">
        <x:v>Repository metadata; external hops need integration</x:v>
      </x:c>
      <x:c r="F20" s="9" t="str">
        <x:v>Project dependency graph; source/BI hops external</x:v>
      </x:c>
      <x:c r="G20" s="9" t="str">
        <x:v>Atlas for supported paths; prove Oracle/MSTR coverage</x:v>
      </x:c>
      <x:c r="H20" s="9" t="str">
        <x:v>Add catalogue/lineage collection and integration</x:v>
      </x:c>
      <x:c r="I20" s="9" t="str">
        <x:v>A01; S01,S07,S11</x:v>
      </x:c>
    </x:row>
    <x:row r="21" ht="52" customHeight="1">
      <x:c r="A21" s="2"/>
      <x:c r="B21" s="9" t="str">
        <x:v>M15</x:v>
      </x:c>
      <x:c r="C21" s="9" t="str">
        <x:v>Security and entitlements</x:v>
      </x:c>
      <x:c r="D21" s="9" t="str">
        <x:v>Roles/secrets/audit integrations must be proven</x:v>
      </x:c>
      <x:c r="E21" s="9" t="str">
        <x:v>Repository/agent/DB permissions must be proven</x:v>
      </x:c>
      <x:c r="F21" s="9" t="str">
        <x:v>Runner/DB/secrets/CI controls must be assembled</x:v>
      </x:c>
      <x:c r="G21" s="9" t="str">
        <x:v>Ranger scope does not automatically cover Oracle/MSTR</x:v>
      </x:c>
      <x:c r="H21" s="9" t="str">
        <x:v>Add identity, policies, secrets and audit controls</x:v>
      </x:c>
      <x:c r="I21" s="9" t="str">
        <x:v>A01; S01,S11,S16</x:v>
      </x:c>
    </x:row>
    <x:row r="22" ht="52" customHeight="1">
      <x:c r="A22" s="2"/>
      <x:c r="B22" s="9" t="str">
        <x:v>M16</x:v>
      </x:c>
      <x:c r="C22" s="9" t="str">
        <x:v>Development and release</x:v>
      </x:c>
      <x:c r="D22" s="9" t="str">
        <x:v>Visual mappings; prove review/export/promotion</x:v>
      </x:c>
      <x:c r="E22" s="9" t="str">
        <x:v>Visual mappings/KMs; prove Git and promotion</x:v>
      </x:c>
      <x:c r="F22" s="9" t="str">
        <x:v>SQL/Git workflow; adapter/package tests required</x:v>
      </x:c>
      <x:c r="G22" s="9" t="str">
        <x:v>Multiple code/config/service promotion paths</x:v>
      </x:c>
      <x:c r="H22" s="9" t="str">
        <x:v>Code/Git workflow plus cluster dependency controls</x:v>
      </x:c>
      <x:c r="I22" s="9" t="str">
        <x:v>A01; S01,S07,S11,S16</x:v>
      </x:c>
    </x:row>
    <x:row r="23" ht="52" customHeight="1">
      <x:c r="A23" s="2"/>
      <x:c r="B23" s="9" t="str">
        <x:v>M17</x:v>
      </x:c>
      <x:c r="C23" s="9" t="str">
        <x:v>Operational skills</x:v>
      </x:c>
      <x:c r="D23" s="9" t="str">
        <x:v>Integration administrators + Oracle + connectors</x:v>
      </x:c>
      <x:c r="E23" s="9" t="str">
        <x:v>ODI/KM administration + Oracle tuning</x:v>
      </x:c>
      <x:c r="F23" s="9" t="str">
        <x:v>SQL/dbt/Python packaging + CI/ingestion owners</x:v>
      </x:c>
      <x:c r="G23" s="9" t="str">
        <x:v>Cluster/storage/security/platform team + data team</x:v>
      </x:c>
      <x:c r="H23" s="9" t="str">
        <x:v>Distributed processing/platform team + data team</x:v>
      </x:c>
      <x:c r="I23" s="9" t="str">
        <x:v>A01; B01</x:v>
      </x:c>
    </x:row>
    <x:row r="24" ht="52" customHeight="1">
      <x:c r="A24" s="2"/>
      <x:c r="B24" s="9" t="str">
        <x:v>M18</x:v>
      </x:c>
      <x:c r="C24" s="9" t="str">
        <x:v>Support and lifecycle</x:v>
      </x:c>
      <x:c r="D24" s="9" t="str">
        <x:v>Written on-prem roadmap and support term required</x:v>
      </x:c>
      <x:c r="E24" s="9" t="str">
        <x:v>Written version/platform/support matrix required</x:v>
      </x:c>
      <x:c r="F24" s="9" t="str">
        <x:v>Oracle maintenance is not dbt Labs support</x:v>
      </x:c>
      <x:c r="G24" s="9" t="str">
        <x:v>Named supported stack and upgrade path required</x:v>
      </x:c>
      <x:c r="H24" s="9" t="str">
        <x:v>Internal or contracted support across all components</x:v>
      </x:c>
      <x:c r="I24" s="9" t="str">
        <x:v>S07,S08,S09; A01</x:v>
      </x:c>
    </x:row>
    <x:row r="25" ht="52" customHeight="1">
      <x:c r="A25" s="2"/>
      <x:c r="B25" s="9" t="str">
        <x:v>M19</x:v>
      </x:c>
      <x:c r="C25" s="9" t="str">
        <x:v>Cost boundary</x:v>
      </x:c>
      <x:c r="D25" s="9" t="str">
        <x:v>Engine, connectors, CDC, HA/DR, staff and DB capacity</x:v>
      </x:c>
      <x:c r="E25" s="9" t="str">
        <x:v>ODI, agents/repos, CDC, HA/DR, staff and DB capacity</x:v>
      </x:c>
      <x:c r="F25" s="9" t="str">
        <x:v>Ingestion, support, staff, CI and Exadata consumption</x:v>
      </x:c>
      <x:c r="G25" s="9" t="str">
        <x:v>Cluster, storage, subscriptions, governance and staff</x:v>
      </x:c>
      <x:c r="H25" s="9" t="str">
        <x:v>Cluster, storage, support, integration and staff</x:v>
      </x:c>
      <x:c r="I25" s="9" t="str">
        <x:v>A01; prices unquoted</x:v>
      </x:c>
    </x:row>
    <x:row r="26" ht="52" customHeight="1">
      <x:c r="A26" s="2"/>
      <x:c r="B26" s="9" t="str">
        <x:v>M20</x:v>
      </x:c>
      <x:c r="C26" s="9" t="str">
        <x:v>Provisional evaluation priority</x:v>
      </x:c>
      <x:c r="D26" s="9" t="str">
        <x:v>Direct EDW finalist if strict-local offer is supportable</x:v>
      </x:c>
      <x:c r="E26" s="9" t="str">
        <x:v>Direct EDW baseline for Oracle-oriented workloads</x:v>
      </x:c>
      <x:c r="F26" s="9" t="str">
        <x:v>Challenger if adapter/support and assembled stack pass</x:v>
      </x:c>
      <x:c r="G26" s="9" t="str">
        <x:v>Strategic platform option if broader cluster need exists</x:v>
      </x:c>
      <x:c r="H26" s="9" t="str">
        <x:v>Engineered alternative if team and workload justify it</x:v>
      </x:c>
      <x:c r="I26" s="9" t="str">
        <x:v>A01; not a final ranking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 t="str">
        <x:v>Evidence register: documentation describes capabilities; acceptance needs pinned versions and local tests.</x:v>
      </x:c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2" customHeight="1">
      <x:c r="A30" s="2"/>
      <x:c r="B30" s="7" t="str">
        <x:v>ID</x:v>
      </x:c>
      <x:c r="C30" s="7" t="str">
        <x:v>Source</x:v>
      </x:c>
      <x:c r="D30" s="7" t="str">
        <x:v>URL / repository reference</x:v>
      </x:c>
      <x:c r="E30" s="7" t="str">
        <x:v>Use and limitation</x:v>
      </x:c>
      <x:c r="F30" s="2"/>
      <x:c r="G30" s="2"/>
      <x:c r="H30" s="2"/>
      <x:c r="I30" s="2"/>
    </x:row>
    <x:row r="31" ht="118" customHeight="1">
      <x:c r="A31" s="2"/>
      <x:c r="B31" s="9" t="str">
        <x:v>S01</x:v>
      </x:c>
      <x:c r="C31" s="9" t="str">
        <x:v>Oracle ODI 14.1.2 architecture</x:v>
      </x:c>
      <x:c r="D31" s="9" t="str">
        <x:v>https://docs.oracle.com/en/middleware/fusion-middleware/data-integrator/14.1.2/odiun/overview-oracle-data-integrator.html</x:v>
      </x:c>
      <x:c r="E31" s="9" t="str">
        <x:v>Product architecture; exact supported deployment and entitlements require confirmation.</x:v>
      </x:c>
      <x:c r="F31" s="2"/>
      <x:c r="G31" s="2"/>
      <x:c r="H31" s="2"/>
      <x:c r="I31" s="2"/>
    </x:row>
    <x:row r="32" ht="118" customHeight="1">
      <x:c r="A32" s="2"/>
      <x:c r="B32" s="9" t="str">
        <x:v>S02</x:v>
      </x:c>
      <x:c r="C32" s="9" t="str">
        <x:v>Oracle ODI knowledge modules</x:v>
      </x:c>
      <x:c r="D32" s="9" t="str">
        <x:v>https://docs.oracle.com/en/middleware/fusion-middleware/data-integrator/14.1.2/odikm/index.html</x:v>
      </x:c>
      <x:c r="E32" s="9" t="str">
        <x:v>Technology-specific loading/integration modules; verify selected modules and versions.</x:v>
      </x:c>
      <x:c r="F32" s="2"/>
      <x:c r="G32" s="2"/>
      <x:c r="H32" s="2"/>
      <x:c r="I32" s="2"/>
    </x:row>
    <x:row r="33" ht="118" customHeight="1">
      <x:c r="A33" s="2"/>
      <x:c r="B33" s="9" t="str">
        <x:v>S03</x:v>
      </x:c>
      <x:c r="C33" s="9" t="str">
        <x:v>Informatica pushdown compatibility</x:v>
      </x:c>
      <x:c r="D33" s="9" t="str">
        <x:v>https://docs.informatica.com/data-integration/powercenter/10-5-9/advanced-workflow-guide/pushdown-optimization-and-transformations/update-strategy-transformation.html</x:v>
      </x:c>
      <x:c r="E33" s="9" t="str">
        <x:v>Oracle pushdown is mapping-dependent; compare execution semantics.</x:v>
      </x:c>
      <x:c r="F33" s="2"/>
      <x:c r="G33" s="2"/>
      <x:c r="H33" s="2"/>
      <x:c r="I33" s="2"/>
    </x:row>
    <x:row r="34" ht="118" customHeight="1">
      <x:c r="A34" s="2"/>
      <x:c r="B34" s="9" t="str">
        <x:v>S04</x:v>
      </x:c>
      <x:c r="C34" s="9" t="str">
        <x:v>Informatica external loaders</x:v>
      </x:c>
      <x:c r="D34" s="9" t="str">
        <x:v>https://docs.informatica.com/data-integration/powercenter/10-5/performance-tuning-guide/optimizing-the-target/using-external-loaders.html</x:v>
      </x:c>
      <x:c r="E34" s="9" t="str">
        <x:v>Oracle loading route; exact configuration must be tested.</x:v>
      </x:c>
      <x:c r="F34" s="2"/>
      <x:c r="G34" s="2"/>
      <x:c r="H34" s="2"/>
      <x:c r="I34" s="2"/>
    </x:row>
    <x:row r="35" ht="118" customHeight="1">
      <x:c r="A35" s="2"/>
      <x:c r="B35" s="9" t="str">
        <x:v>S05</x:v>
      </x:c>
      <x:c r="C35" s="9" t="str">
        <x:v>Informatica CDI-PC components</x:v>
      </x:c>
      <x:c r="D35" s="9" t="str">
        <x:v>https://docs.informatica.com/integration-cloud/cloud-data-integration-for-powercenter/current-version/installation-guide-for-cloud-data-integration-for-powercenter--c/appendix-a--cdi-pc-components/components.html</x:v>
      </x:c>
      <x:c r="E35" s="9" t="str">
        <x:v>Search-indexed official components: IDMC service and Secure Agent link. Cloud-managed CDI-PC excluded.</x:v>
      </x:c>
      <x:c r="F35" s="2"/>
      <x:c r="G35" s="2"/>
      <x:c r="H35" s="2"/>
      <x:c r="I35" s="2"/>
    </x:row>
    <x:row r="36" ht="118" customHeight="1">
      <x:c r="A36" s="2"/>
      <x:c r="B36" s="9" t="str">
        <x:v>S06</x:v>
      </x:c>
      <x:c r="C36" s="9" t="str">
        <x:v>Informatica PowerExchange CDC</x:v>
      </x:c>
      <x:c r="D36" s="9" t="str">
        <x:v>https://docs.informatica.com/data-integration/powercenter/10-5-9/powerexchange-interfaces-for-powercenter/part-2--powerexchange-client-for-powercenter--pwxpc-/working-with-mappings/group-source-processing-in-powerexchange.html</x:v>
      </x:c>
      <x:c r="E36" s="9" t="str">
        <x:v>CDC is a named stack component; confirm source coverage and license.</x:v>
      </x:c>
      <x:c r="F36" s="2"/>
      <x:c r="G36" s="2"/>
      <x:c r="H36" s="2"/>
      <x:c r="I36" s="2"/>
    </x:row>
    <x:row r="37" ht="118" customHeight="1">
      <x:c r="A37" s="2"/>
      <x:c r="B37" s="9" t="str">
        <x:v>S07</x:v>
      </x:c>
      <x:c r="C37" s="9" t="str">
        <x:v>dbt Oracle adapter setup</x:v>
      </x:c>
      <x:c r="D37" s="9" t="str">
        <x:v>https://docs.getdbt.com/docs/local/connect-data-platform/oracle-setup</x:v>
      </x:c>
      <x:c r="E37" s="9" t="str">
        <x:v>v1 page; Oracle maintained, dbt support Not Supported; exact Exadata combination requires validation.</x:v>
      </x:c>
      <x:c r="F37" s="2"/>
      <x:c r="G37" s="2"/>
      <x:c r="H37" s="2"/>
      <x:c r="I37" s="2"/>
    </x:row>
    <x:row r="38" ht="118" customHeight="1">
      <x:c r="A38" s="2"/>
      <x:c r="B38" s="9" t="str">
        <x:v>S08</x:v>
      </x:c>
      <x:c r="C38" s="9" t="str">
        <x:v>Oracle dbt adapter repository</x:v>
      </x:c>
      <x:c r="D38" s="9" t="str">
        <x:v>https://github.com/oracle/dbt-oracle</x:v>
      </x:c>
      <x:c r="E38" s="9" t="str">
        <x:v>Oracle maintenance and adapter license do not establish a bank support SLA.</x:v>
      </x:c>
      <x:c r="F38" s="2"/>
      <x:c r="G38" s="2"/>
      <x:c r="H38" s="2"/>
      <x:c r="I38" s="2"/>
    </x:row>
    <x:row r="39" ht="118" customHeight="1">
      <x:c r="A39" s="2"/>
      <x:c r="B39" s="9" t="str">
        <x:v>S09</x:v>
      </x:c>
      <x:c r="C39" s="9" t="str">
        <x:v>dbt distribution licensing FAQ</x:v>
      </x:c>
      <x:c r="D39" s="9" t="str">
        <x:v>https://www.getdbt.com/licenses-faq</x:v>
      </x:c>
      <x:c r="E39" s="9" t="str">
        <x:v>v1 / v2 / OSS are distinct; do not infer Oracle compatibility across distributions.</x:v>
      </x:c>
      <x:c r="F39" s="2"/>
      <x:c r="G39" s="2"/>
      <x:c r="H39" s="2"/>
      <x:c r="I39" s="2"/>
    </x:row>
    <x:row r="40" ht="118" customHeight="1">
      <x:c r="A40" s="2"/>
      <x:c r="B40" s="9" t="str">
        <x:v>S10</x:v>
      </x:c>
      <x:c r="C40" s="9" t="str">
        <x:v>dbt usage statistics configuration</x:v>
      </x:c>
      <x:c r="D40" s="9" t="str">
        <x:v>https://docs.getdbt.com/reference/global-configs/usage-stats</x:v>
      </x:c>
      <x:c r="E40" s="9" t="str">
        <x:v>Disable applicable telemetry; prove no egress for the pinned distribution.</x:v>
      </x:c>
      <x:c r="F40" s="2"/>
      <x:c r="G40" s="2"/>
      <x:c r="H40" s="2"/>
      <x:c r="I40" s="2"/>
    </x:row>
    <x:row r="41" ht="118" customHeight="1">
      <x:c r="A41" s="2"/>
      <x:c r="B41" s="9" t="str">
        <x:v>S11</x:v>
      </x:c>
      <x:c r="C41" s="9" t="str">
        <x:v>Cloudera on-premises reference architecture</x:v>
      </x:c>
      <x:c r="D41" s="9" t="str">
        <x:v>https://docs.cloudera.com/cdp-reference-architectures/latest/cdp-pvc-base-ra/topics/ra-cdpdc-abstract.html</x:v>
      </x:c>
      <x:c r="E41" s="9" t="str">
        <x:v>Base services include Spark, Ranger and Atlas; implementation scope matters.</x:v>
      </x:c>
      <x:c r="F41" s="2"/>
      <x:c r="G41" s="2"/>
      <x:c r="H41" s="2"/>
      <x:c r="I41" s="2"/>
    </x:row>
    <x:row r="42" ht="118" customHeight="1">
      <x:c r="A42" s="2"/>
      <x:c r="B42" s="9" t="str">
        <x:v>S12</x:v>
      </x:c>
      <x:c r="C42" s="9" t="str">
        <x:v>Cloudera Data Services architecture</x:v>
      </x:c>
      <x:c r="D42" s="9" t="str">
        <x:v>https://docs-archive.cloudera.com/cdp-private-cloud-data-services/1.5.3/overview/topics/cdppvc-ds-deployment-architecture.html</x:v>
      </x:c>
      <x:c r="E42" s="9" t="str">
        <x:v>Version-specific reference for additional container-based services, not a current BOM.</x:v>
      </x:c>
      <x:c r="F42" s="2"/>
      <x:c r="G42" s="2"/>
      <x:c r="H42" s="2"/>
      <x:c r="I42" s="2"/>
    </x:row>
    <x:row r="43" ht="118" customHeight="1">
      <x:c r="A43" s="2"/>
      <x:c r="B43" s="9" t="str">
        <x:v>S13</x:v>
      </x:c>
      <x:c r="C43" s="9" t="str">
        <x:v>Cloudera air-gap installation</x:v>
      </x:c>
      <x:c r="D43" s="9" t="str">
        <x:v>https://docs.cloudera.com/cdp-private-cloud-data-services/1.5.5/installation/topics/cdppvc-installation-airgap.html</x:v>
      </x:c>
      <x:c r="E43" s="9" t="str">
        <x:v>Documented offline installation path for this edition; validate complete deployment.</x:v>
      </x:c>
      <x:c r="F43" s="2"/>
      <x:c r="G43" s="2"/>
      <x:c r="H43" s="2"/>
      <x:c r="I43" s="2"/>
    </x:row>
    <x:row r="44" ht="118" customHeight="1">
      <x:c r="A44" s="2"/>
      <x:c r="B44" s="9" t="str">
        <x:v>S14</x:v>
      </x:c>
      <x:c r="C44" s="9" t="str">
        <x:v>Spark JDBC data source</x:v>
      </x:c>
      <x:c r="D44" s="9" t="str">
        <x:v>https://spark.apache.org/docs/latest/sql-data-sources-jdbc.html</x:v>
      </x:c>
      <x:c r="E44" s="9" t="str">
        <x:v>Partitioning controls concurrent DB connections; pushdown is conditional. Pin a supported release.</x:v>
      </x:c>
      <x:c r="F44" s="2"/>
      <x:c r="G44" s="2"/>
      <x:c r="H44" s="2"/>
      <x:c r="I44" s="2"/>
    </x:row>
    <x:row r="45" ht="118" customHeight="1">
      <x:c r="A45" s="2"/>
      <x:c r="B45" s="9" t="str">
        <x:v>S15</x:v>
      </x:c>
      <x:c r="C45" s="9" t="str">
        <x:v>Spark Structured Streaming</x:v>
      </x:c>
      <x:c r="D45" s="9" t="str">
        <x:v>https://spark.apache.org/docs/latest/streaming/apis-on-dataframes-and-datasets.html</x:v>
      </x:c>
      <x:c r="E45" s="9" t="str">
        <x:v>Checkpoint/sink semantics must be validated end to end; Oracle publication is not inherently exactly once.</x:v>
      </x:c>
      <x:c r="F45" s="2"/>
      <x:c r="G45" s="2"/>
      <x:c r="H45" s="2"/>
      <x:c r="I45" s="2"/>
    </x:row>
    <x:row r="46" ht="118" customHeight="1">
      <x:c r="A46" s="2"/>
      <x:c r="B46" s="9" t="str">
        <x:v>S16</x:v>
      </x:c>
      <x:c r="C46" s="9" t="str">
        <x:v>Spark security</x:v>
      </x:c>
      <x:c r="D46" s="9" t="str">
        <x:v>https://spark.apache.org/docs/latest/security.html</x:v>
      </x:c>
      <x:c r="E46" s="9" t="str">
        <x:v>Security configuration is a deployment responsibility.</x:v>
      </x:c>
      <x:c r="F46" s="2"/>
      <x:c r="G46" s="2"/>
      <x:c r="H46" s="2"/>
      <x:c r="I46" s="2"/>
    </x:row>
    <x:row r="47" ht="118" customHeight="1">
      <x:c r="A47" s="2"/>
      <x:c r="B47" s="9" t="str">
        <x:v>S17</x:v>
      </x:c>
      <x:c r="C47" s="9" t="str">
        <x:v>Oracle GoldenGate overview</x:v>
      </x:c>
      <x:c r="D47" s="9" t="str">
        <x:v>https://docs.oracle.com/en/database/goldengate/core/26/coredoc/overview-oracle-goldengate.html</x:v>
      </x:c>
      <x:c r="E47" s="9" t="str">
        <x:v>Reference for optional log-based CDC; not bundled into every candidate.</x:v>
      </x:c>
      <x:c r="F47" s="2"/>
      <x:c r="G47" s="2"/>
      <x:c r="H47" s="2"/>
      <x:c r="I47" s="2"/>
    </x:row>
    <x:row r="48" ht="118" customHeight="1">
      <x:c r="A48" s="2"/>
      <x:c r="B48" s="9" t="str">
        <x:v>B01</x:v>
      </x:c>
      <x:c r="C48" s="9" t="str">
        <x:v>Bank environment notes</x:v>
      </x:c>
      <x:c r="D48" s="9" t="str">
        <x:v>Obsidian Vault/Kendi Notlarım/Fiziksel Topoloji - Teknik Taraf.md</x:v>
      </x:c>
      <x:c r="E48" s="9" t="str">
        <x:v>Reported Oracle estate, TDM, scheduling and environment context; revalidate.</x:v>
      </x:c>
      <x:c r="F48" s="2"/>
      <x:c r="G48" s="2"/>
      <x:c r="H48" s="2"/>
      <x:c r="I48" s="2"/>
    </x:row>
    <x:row r="49" ht="118" customHeight="1">
      <x:c r="A49" s="2"/>
      <x:c r="B49" s="9" t="str">
        <x:v>U01</x:v>
      </x:c>
      <x:c r="C49" s="9" t="str">
        <x:v>User deployment requirement</x:v>
      </x:c>
      <x:c r="D49" s="9" t="str">
        <x:v>User instruction, 28 September 2026</x:v>
      </x:c>
      <x:c r="E49" s="9" t="str">
        <x:v>Runtime, management, metadata and logs must remain on premises.</x:v>
      </x:c>
      <x:c r="F49" s="2"/>
      <x:c r="G49" s="2"/>
      <x:c r="H49" s="2"/>
      <x:c r="I49" s="2"/>
    </x:row>
    <x:row r="50" ht="118" customHeight="1">
      <x:c r="A50" s="2"/>
      <x:c r="B50" s="9" t="str">
        <x:v>A01</x:v>
      </x:c>
      <x:c r="C50" s="9" t="str">
        <x:v>Architect assessment</x:v>
      </x:c>
      <x:c r="D50" s="9" t="str">
        <x:v>ETL Tool Evaluation.md</x:v>
      </x:c>
      <x:c r="E50" s="9" t="str">
        <x:v>Provisional design judgement; not a benchmark or accepted product capability.</x:v>
      </x:c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B6385"/>
  </x:sheetPr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3" hidden="0" customWidth="1"/>
    <x:col min="2" max="2" width="29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5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2"/>
      <x:c r="B2" s="3" t="str">
        <x:v>Evidence-based scorecard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2" t="str">
        <x:v>Scores 0–5; blank means unassessed. Amber cells are editable. Weights are proposed, total 100.</x:v>
      </x:c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2"/>
      <x:c r="B5" s="7" t="str">
        <x:v>Candidate</x:v>
      </x:c>
      <x:c r="C5" s="7" t="str">
        <x:v>Criteria covered</x:v>
      </x:c>
      <x:c r="D5" s="7" t="str">
        <x:v>Score / 100</x:v>
      </x:c>
      <x:c r="E5" s="7" t="str">
        <x:v>Gates</x:v>
      </x:c>
      <x:c r="F5" s="7" t="str">
        <x:v>Decision readiness</x:v>
      </x:c>
      <x:c r="G5" s="7" t="str">
        <x:v>Unscored count</x:v>
      </x:c>
      <x:c r="H5" s="7" t="str">
        <x:v>Missing evidence</x:v>
      </x:c>
      <x:c r="I5" s="2"/>
    </x:row>
    <x:row r="6" ht="36" customHeight="1">
      <x:c r="A6" s="2"/>
      <x:c r="B6" s="8" t="str">
        <x:v>Informatica PowerCenter</x:v>
      </x:c>
      <x:c r="C6" s="13" t="n">
        <x:f>COUNT(D15:D26)/12</x:f>
        <x:v>0</x:v>
      </x:c>
      <x:c r="D6" s="14" t="str">
        <x:f>IF(OR($C$28&lt;&gt;100,COUNT($C$15:$C$26)&lt;&gt;12,MIN($C$15:$C$26)&lt;0,G6&gt;0,H6&gt;0,COUNTIFS(D15:D26,"&gt;=0",D15:D26,"&lt;=5")&lt;&gt;12),"",SUMPRODUCT($C$15:$C$26,D15:D26)/5)</x:f>
      </x:c>
      <x:c r="E6" s="8" t="str">
        <x:f>'Gates'!D5</x:f>
        <x:v>Unverified</x:v>
      </x:c>
      <x:c r="F6" s="8" t="str">
        <x:f>IF(E6="Fail","Excluded",IF(E6&lt;&gt;"Pass","Gates pending",IF(ISNUMBER(D6),IF(ISNUMBER('Costs'!C6),"Ready for decision","Cost incomplete"),"Scoring incomplete")))</x:f>
        <x:v>Gates pending</x:v>
      </x:c>
      <x:c r="G6" s="8" t="n">
        <x:f>12-COUNT(D15:D26)</x:f>
        <x:v>12</x:v>
      </x:c>
      <x:c r="H6" s="8" t="n">
        <x:f>COUNTBLANK(D33:D44)</x:f>
        <x:v>12</x:v>
      </x:c>
      <x:c r="I6" s="2"/>
    </x:row>
    <x:row r="7" ht="36" customHeight="1">
      <x:c r="A7" s="2"/>
      <x:c r="B7" s="8" t="str">
        <x:v>Oracle ODI</x:v>
      </x:c>
      <x:c r="C7" s="13" t="n">
        <x:f>COUNT(E15:E26)/12</x:f>
        <x:v>0</x:v>
      </x:c>
      <x:c r="D7" s="14" t="str">
        <x:f>IF(OR($C$28&lt;&gt;100,COUNT($C$15:$C$26)&lt;&gt;12,MIN($C$15:$C$26)&lt;0,G7&gt;0,H7&gt;0,COUNTIFS(E15:E26,"&gt;=0",E15:E26,"&lt;=5")&lt;&gt;12),"",SUMPRODUCT($C$15:$C$26,E15:E26)/5)</x:f>
      </x:c>
      <x:c r="E7" s="8" t="str">
        <x:f>'Gates'!E5</x:f>
        <x:v>Unverified</x:v>
      </x:c>
      <x:c r="F7" s="8" t="str">
        <x:f>IF(E7="Fail","Excluded",IF(E7&lt;&gt;"Pass","Gates pending",IF(ISNUMBER(D7),IF(ISNUMBER('Costs'!C7),"Ready for decision","Cost incomplete"),"Scoring incomplete")))</x:f>
        <x:v>Gates pending</x:v>
      </x:c>
      <x:c r="G7" s="8" t="n">
        <x:f>12-COUNT(E15:E26)</x:f>
        <x:v>12</x:v>
      </x:c>
      <x:c r="H7" s="8" t="n">
        <x:f>COUNTBLANK(E33:E44)</x:f>
        <x:v>12</x:v>
      </x:c>
      <x:c r="I7" s="2"/>
    </x:row>
    <x:row r="8" ht="36" customHeight="1">
      <x:c r="A8" s="2"/>
      <x:c r="B8" s="8" t="str">
        <x:v>dbt Core v1 + Oracle</x:v>
      </x:c>
      <x:c r="C8" s="13" t="n">
        <x:f>COUNT(F15:F26)/12</x:f>
        <x:v>0</x:v>
      </x:c>
      <x:c r="D8" s="14" t="str">
        <x:f>IF(OR($C$28&lt;&gt;100,COUNT($C$15:$C$26)&lt;&gt;12,MIN($C$15:$C$26)&lt;0,G8&gt;0,H8&gt;0,COUNTIFS(F15:F26,"&gt;=0",F15:F26,"&lt;=5")&lt;&gt;12),"",SUMPRODUCT($C$15:$C$26,F15:F26)/5)</x:f>
      </x:c>
      <x:c r="E8" s="8" t="str">
        <x:f>'Gates'!F5</x:f>
        <x:v>Unverified</x:v>
      </x:c>
      <x:c r="F8" s="8" t="str">
        <x:f>IF(E8="Fail","Excluded",IF(E8&lt;&gt;"Pass","Gates pending",IF(ISNUMBER(D8),IF(ISNUMBER('Costs'!C8),"Ready for decision","Cost incomplete"),"Scoring incomplete")))</x:f>
        <x:v>Gates pending</x:v>
      </x:c>
      <x:c r="G8" s="8" t="n">
        <x:f>12-COUNT(F15:F26)</x:f>
        <x:v>12</x:v>
      </x:c>
      <x:c r="H8" s="8" t="n">
        <x:f>COUNTBLANK(F33:F44)</x:f>
        <x:v>12</x:v>
      </x:c>
      <x:c r="I8" s="2"/>
    </x:row>
    <x:row r="9" ht="36" customHeight="1">
      <x:c r="A9" s="2"/>
      <x:c r="B9" s="8" t="str">
        <x:v>Cloudera on premises</x:v>
      </x:c>
      <x:c r="C9" s="13" t="n">
        <x:f>COUNT(G15:G26)/12</x:f>
        <x:v>0</x:v>
      </x:c>
      <x:c r="D9" s="14" t="str">
        <x:f>IF(OR($C$28&lt;&gt;100,COUNT($C$15:$C$26)&lt;&gt;12,MIN($C$15:$C$26)&lt;0,G9&gt;0,H9&gt;0,COUNTIFS(G15:G26,"&gt;=0",G15:G26,"&lt;=5")&lt;&gt;12),"",SUMPRODUCT($C$15:$C$26,G15:G26)/5)</x:f>
      </x:c>
      <x:c r="E9" s="8" t="str">
        <x:f>'Gates'!G5</x:f>
        <x:v>Unverified</x:v>
      </x:c>
      <x:c r="F9" s="8" t="str">
        <x:f>IF(E9="Fail","Excluded",IF(E9&lt;&gt;"Pass","Gates pending",IF(ISNUMBER(D9),IF(ISNUMBER('Costs'!C9),"Ready for decision","Cost incomplete"),"Scoring incomplete")))</x:f>
        <x:v>Gates pending</x:v>
      </x:c>
      <x:c r="G9" s="8" t="n">
        <x:f>12-COUNT(G15:G26)</x:f>
        <x:v>12</x:v>
      </x:c>
      <x:c r="H9" s="8" t="n">
        <x:f>COUNTBLANK(G33:G44)</x:f>
        <x:v>12</x:v>
      </x:c>
      <x:c r="I9" s="2"/>
    </x:row>
    <x:row r="10" ht="36" customHeight="1">
      <x:c r="A10" s="2"/>
      <x:c r="B10" s="8" t="str">
        <x:v>Apache Spark on premises</x:v>
      </x:c>
      <x:c r="C10" s="13" t="n">
        <x:f>COUNT(H15:H26)/12</x:f>
        <x:v>0</x:v>
      </x:c>
      <x:c r="D10" s="14" t="str">
        <x:f>IF(OR($C$28&lt;&gt;100,COUNT($C$15:$C$26)&lt;&gt;12,MIN($C$15:$C$26)&lt;0,G10&gt;0,H10&gt;0,COUNTIFS(H15:H26,"&gt;=0",H15:H26,"&lt;=5")&lt;&gt;12),"",SUMPRODUCT($C$15:$C$26,H15:H26)/5)</x:f>
      </x:c>
      <x:c r="E10" s="8" t="str">
        <x:f>'Gates'!H5</x:f>
        <x:v>Unverified</x:v>
      </x:c>
      <x:c r="F10" s="8" t="str">
        <x:f>IF(E10="Fail","Excluded",IF(E10&lt;&gt;"Pass","Gates pending",IF(ISNUMBER(D10),IF(ISNUMBER('Costs'!C10),"Ready for decision","Cost incomplete"),"Scoring incomplete")))</x:f>
        <x:v>Gates pending</x:v>
      </x:c>
      <x:c r="G10" s="8" t="n">
        <x:f>12-COUNT(H15:H26)</x:f>
        <x:v>12</x:v>
      </x:c>
      <x:c r="H10" s="8" t="n">
        <x:f>COUNTBLANK(H33:H44)</x:f>
        <x:v>12</x:v>
      </x:c>
      <x:c r="I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</x:row>
    <x:row r="12">
      <x:c r="A12" s="2"/>
      <x:c r="B12" s="2" t="str">
        <x:v>Ready for decision requires all gates Pass, complete score evidence and complete costs. It is not approval.</x:v>
      </x:c>
      <x:c r="C12" s="2"/>
      <x:c r="D12" s="2"/>
      <x:c r="E12" s="2"/>
      <x:c r="F12" s="2"/>
      <x:c r="G12" s="2"/>
      <x:c r="H12" s="2"/>
      <x:c r="I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2" customHeight="1">
      <x:c r="A14" s="2"/>
      <x:c r="B14" s="7" t="str">
        <x:v>ID</x:v>
      </x:c>
      <x:c r="C14" s="7" t="str">
        <x:v>Weight</x:v>
      </x:c>
      <x:c r="D14" s="7" t="str">
        <x:v>Informatica PowerCenter</x:v>
      </x:c>
      <x:c r="E14" s="7" t="str">
        <x:v>Oracle ODI</x:v>
      </x:c>
      <x:c r="F14" s="7" t="str">
        <x:v>dbt Core v1 + Oracle</x:v>
      </x:c>
      <x:c r="G14" s="7" t="str">
        <x:v>Cloudera on premises</x:v>
      </x:c>
      <x:c r="H14" s="7" t="str">
        <x:v>Apache Spark on premises</x:v>
      </x:c>
      <x:c r="I14" s="7" t="str">
        <x:v>Criterion / test IDs</x:v>
      </x:c>
    </x:row>
    <x:row r="15" ht="43" customHeight="1">
      <x:c r="A15" s="2"/>
      <x:c r="B15" s="8" t="str">
        <x:v>C01</x:v>
      </x:c>
      <x:c r="C15" s="15" t="n">
        <x:v>13</x:v>
      </x:c>
      <x:c r="D15" s="15"/>
      <x:c r="E15" s="15"/>
      <x:c r="F15" s="15"/>
      <x:c r="G15" s="15"/>
      <x:c r="H15" s="15"/>
      <x:c r="I15" s="8" t="str">
        <x:v>Oracle execution and resource efficiency — P02,P10</x:v>
      </x:c>
    </x:row>
    <x:row r="16" ht="43" customHeight="1">
      <x:c r="A16" s="2"/>
      <x:c r="B16" s="8" t="str">
        <x:v>C02</x:v>
      </x:c>
      <x:c r="C16" s="15" t="n">
        <x:v>8</x:v>
      </x:c>
      <x:c r="D16" s="15"/>
      <x:c r="E16" s="15"/>
      <x:c r="F16" s="15"/>
      <x:c r="G16" s="15"/>
      <x:c r="H16" s="15"/>
      <x:c r="I16" s="8" t="str">
        <x:v>Source and delivery integration — P02,P03,P09</x:v>
      </x:c>
    </x:row>
    <x:row r="17" ht="43" customHeight="1">
      <x:c r="A17" s="2"/>
      <x:c r="B17" s="8" t="str">
        <x:v>C03</x:v>
      </x:c>
      <x:c r="C17" s="15" t="n">
        <x:v>12</x:v>
      </x:c>
      <x:c r="D17" s="15"/>
      <x:c r="E17" s="15"/>
      <x:c r="F17" s="15"/>
      <x:c r="G17" s="15"/>
      <x:c r="H17" s="15"/>
      <x:c r="I17" s="8" t="str">
        <x:v>Incremental correctness — P04,P05</x:v>
      </x:c>
    </x:row>
    <x:row r="18" ht="43" customHeight="1">
      <x:c r="A18" s="2"/>
      <x:c r="B18" s="8" t="str">
        <x:v>C04</x:v>
      </x:c>
      <x:c r="C18" s="15" t="n">
        <x:v>8</x:v>
      </x:c>
      <x:c r="D18" s="15"/>
      <x:c r="E18" s="15"/>
      <x:c r="F18" s="15"/>
      <x:c r="G18" s="15"/>
      <x:c r="H18" s="15"/>
      <x:c r="I18" s="8" t="str">
        <x:v>Business transformations and history — P05,P06</x:v>
      </x:c>
    </x:row>
    <x:row r="19" ht="43" customHeight="1">
      <x:c r="A19" s="2"/>
      <x:c r="B19" s="8" t="str">
        <x:v>C05</x:v>
      </x:c>
      <x:c r="C19" s="15" t="n">
        <x:v>12</x:v>
      </x:c>
      <x:c r="D19" s="15"/>
      <x:c r="E19" s="15"/>
      <x:c r="F19" s="15"/>
      <x:c r="G19" s="15"/>
      <x:c r="H19" s="15"/>
      <x:c r="I19" s="8" t="str">
        <x:v>Failure recovery and service reliability — P07,P08</x:v>
      </x:c>
    </x:row>
    <x:row r="20" ht="43" customHeight="1">
      <x:c r="A20" s="2"/>
      <x:c r="B20" s="8" t="str">
        <x:v>C06</x:v>
      </x:c>
      <x:c r="C20" s="15" t="n">
        <x:v>8</x:v>
      </x:c>
      <x:c r="D20" s="15"/>
      <x:c r="E20" s="15"/>
      <x:c r="F20" s="15"/>
      <x:c r="G20" s="15"/>
      <x:c r="H20" s="15"/>
      <x:c r="I20" s="8" t="str">
        <x:v>Lineage, quality evidence and audit — P06,P09</x:v>
      </x:c>
    </x:row>
    <x:row r="21" ht="43" customHeight="1">
      <x:c r="A21" s="2"/>
      <x:c r="B21" s="8" t="str">
        <x:v>C07</x:v>
      </x:c>
      <x:c r="C21" s="15" t="n">
        <x:v>8</x:v>
      </x:c>
      <x:c r="D21" s="15"/>
      <x:c r="E21" s="15"/>
      <x:c r="F21" s="15"/>
      <x:c r="G21" s="15"/>
      <x:c r="H21" s="15"/>
      <x:c r="I21" s="8" t="str">
        <x:v>Security and local operation — P01,P11</x:v>
      </x:c>
    </x:row>
    <x:row r="22" ht="43" customHeight="1">
      <x:c r="A22" s="2"/>
      <x:c r="B22" s="8" t="str">
        <x:v>C08</x:v>
      </x:c>
      <x:c r="C22" s="15" t="n">
        <x:v>7</x:v>
      </x:c>
      <x:c r="D22" s="15"/>
      <x:c r="E22" s="15"/>
      <x:c r="F22" s="15"/>
      <x:c r="G22" s="15"/>
      <x:c r="H22" s="15"/>
      <x:c r="I22" s="8" t="str">
        <x:v>Development, testing and release — P05,P12</x:v>
      </x:c>
    </x:row>
    <x:row r="23" ht="43" customHeight="1">
      <x:c r="A23" s="2"/>
      <x:c r="B23" s="8" t="str">
        <x:v>C09</x:v>
      </x:c>
      <x:c r="C23" s="15" t="n">
        <x:v>6</x:v>
      </x:c>
      <x:c r="D23" s="15"/>
      <x:c r="E23" s="15"/>
      <x:c r="F23" s="15"/>
      <x:c r="G23" s="15"/>
      <x:c r="H23" s="15"/>
      <x:c r="I23" s="8" t="str">
        <x:v>Operating effort and team fit — P07,P12</x:v>
      </x:c>
    </x:row>
    <x:row r="24" ht="43" customHeight="1">
      <x:c r="A24" s="2"/>
      <x:c r="B24" s="8" t="str">
        <x:v>C10</x:v>
      </x:c>
      <x:c r="C24" s="15" t="n">
        <x:v>3</x:v>
      </x:c>
      <x:c r="D24" s="15"/>
      <x:c r="E24" s="15"/>
      <x:c r="F24" s="15"/>
      <x:c r="G24" s="15"/>
      <x:c r="H24" s="15"/>
      <x:c r="I24" s="8" t="str">
        <x:v>Required heterogeneous growth — P03,P10</x:v>
      </x:c>
    </x:row>
    <x:row r="25" ht="43" customHeight="1">
      <x:c r="A25" s="2"/>
      <x:c r="B25" s="8" t="str">
        <x:v>C11</x:v>
      </x:c>
      <x:c r="C25" s="15" t="n">
        <x:v>5</x:v>
      </x:c>
      <x:c r="D25" s="15"/>
      <x:c r="E25" s="15"/>
      <x:c r="F25" s="15"/>
      <x:c r="G25" s="15"/>
      <x:c r="H25" s="15"/>
      <x:c r="I25" s="8" t="str">
        <x:v>Lifecycle, support and exit — P12</x:v>
      </x:c>
    </x:row>
    <x:row r="26" ht="43" customHeight="1">
      <x:c r="A26" s="2"/>
      <x:c r="B26" s="8" t="str">
        <x:v>C12</x:v>
      </x:c>
      <x:c r="C26" s="15" t="n">
        <x:v>10</x:v>
      </x:c>
      <x:c r="D26" s="15"/>
      <x:c r="E26" s="15"/>
      <x:c r="F26" s="15"/>
      <x:c r="G26" s="15"/>
      <x:c r="H26" s="15"/>
      <x:c r="I26" s="8" t="str">
        <x:v>Five-year total cost — RFI,TCO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 t="str">
        <x:v>Total weight</x:v>
      </x:c>
      <x:c r="C28" s="2" t="n">
        <x:f>SUM(C15:C26)</x:f>
        <x:v>100</x:v>
      </x:c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 t="str">
        <x:v>Evidence references for the same criteria: accepted test IDs / RFI responses / quotation records.</x:v>
      </x:c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2" customHeight="1">
      <x:c r="A32" s="2"/>
      <x:c r="B32" s="7" t="str">
        <x:v>ID</x:v>
      </x:c>
      <x:c r="C32" s="7" t="str">
        <x:v>Test reference</x:v>
      </x:c>
      <x:c r="D32" s="7" t="str">
        <x:v>Informatica PowerCenter</x:v>
      </x:c>
      <x:c r="E32" s="7" t="str">
        <x:v>Oracle ODI</x:v>
      </x:c>
      <x:c r="F32" s="7" t="str">
        <x:v>dbt Core v1 + Oracle</x:v>
      </x:c>
      <x:c r="G32" s="7" t="str">
        <x:v>Cloudera on premises</x:v>
      </x:c>
      <x:c r="H32" s="7" t="str">
        <x:v>Apache Spark on premises</x:v>
      </x:c>
      <x:c r="I32" s="7" t="str">
        <x:v>Minimum evidence</x:v>
      </x:c>
    </x:row>
    <x:row r="33" ht="43" customHeight="1">
      <x:c r="A33" s="2"/>
      <x:c r="B33" s="8" t="str">
        <x:v>C01</x:v>
      </x:c>
      <x:c r="C33" s="8" t="str">
        <x:v>P02,P10</x:v>
      </x:c>
      <x:c r="D33" s="15"/>
      <x:c r="E33" s="15"/>
      <x:c r="F33" s="15"/>
      <x:c r="G33" s="15"/>
      <x:c r="H33" s="15"/>
      <x:c r="I33" s="8" t="str">
        <x:v>Source and target load, SQL plans, movement and deadline</x:v>
      </x:c>
    </x:row>
    <x:row r="34" ht="43" customHeight="1">
      <x:c r="A34" s="2"/>
      <x:c r="B34" s="8" t="str">
        <x:v>C02</x:v>
      </x:c>
      <x:c r="C34" s="8" t="str">
        <x:v>P02,P03,P09</x:v>
      </x:c>
      <x:c r="D34" s="15"/>
      <x:c r="E34" s="15"/>
      <x:c r="F34" s="15"/>
      <x:c r="G34" s="15"/>
      <x:c r="H34" s="15"/>
      <x:c r="I34" s="8" t="str">
        <x:v>Required Oracle/file/API paths and output contract</x:v>
      </x:c>
    </x:row>
    <x:row r="35" ht="43" customHeight="1">
      <x:c r="A35" s="2"/>
      <x:c r="B35" s="8" t="str">
        <x:v>C03</x:v>
      </x:c>
      <x:c r="C35" s="8" t="str">
        <x:v>P04,P05</x:v>
      </x:c>
      <x:c r="D35" s="15"/>
      <x:c r="E35" s="15"/>
      <x:c r="F35" s="15"/>
      <x:c r="G35" s="15"/>
      <x:c r="H35" s="15"/>
      <x:c r="I35" s="8" t="str">
        <x:v>Updates, deletes, late events and duplicate handling</x:v>
      </x:c>
    </x:row>
    <x:row r="36" ht="43" customHeight="1">
      <x:c r="A36" s="2"/>
      <x:c r="B36" s="8" t="str">
        <x:v>C04</x:v>
      </x:c>
      <x:c r="C36" s="8" t="str">
        <x:v>P05,P06</x:v>
      </x:c>
      <x:c r="D36" s="15"/>
      <x:c r="E36" s="15"/>
      <x:c r="F36" s="15"/>
      <x:c r="G36" s="15"/>
      <x:c r="H36" s="15"/>
      <x:c r="I36" s="8" t="str">
        <x:v>Grain, exact amounts, temporal correction and reconciliation</x:v>
      </x:c>
    </x:row>
    <x:row r="37" ht="43" customHeight="1">
      <x:c r="A37" s="2"/>
      <x:c r="B37" s="8" t="str">
        <x:v>C05</x:v>
      </x:c>
      <x:c r="C37" s="8" t="str">
        <x:v>P07,P08</x:v>
      </x:c>
      <x:c r="D37" s="15"/>
      <x:c r="E37" s="15"/>
      <x:c r="F37" s="15"/>
      <x:c r="G37" s="15"/>
      <x:c r="H37" s="15"/>
      <x:c r="I37" s="8" t="str">
        <x:v>Partial failure, replay, RPO/RTO and restart effort</x:v>
      </x:c>
    </x:row>
    <x:row r="38" ht="43" customHeight="1">
      <x:c r="A38" s="2"/>
      <x:c r="B38" s="8" t="str">
        <x:v>C06</x:v>
      </x:c>
      <x:c r="C38" s="8" t="str">
        <x:v>P06,P09</x:v>
      </x:c>
      <x:c r="D38" s="15"/>
      <x:c r="E38" s="15"/>
      <x:c r="F38" s="15"/>
      <x:c r="G38" s="15"/>
      <x:c r="H38" s="15"/>
      <x:c r="I38" s="8" t="str">
        <x:v>Source-to-output trace and publication evidence</x:v>
      </x:c>
    </x:row>
    <x:row r="39" ht="43" customHeight="1">
      <x:c r="A39" s="2"/>
      <x:c r="B39" s="8" t="str">
        <x:v>C07</x:v>
      </x:c>
      <x:c r="C39" s="8" t="str">
        <x:v>P01,P11</x:v>
      </x:c>
      <x:c r="D39" s="15"/>
      <x:c r="E39" s="15"/>
      <x:c r="F39" s="15"/>
      <x:c r="G39" s="15"/>
      <x:c r="H39" s="15"/>
      <x:c r="I39" s="8" t="str">
        <x:v>Controls beyond mandatory minimum; access and secret lifecycle</x:v>
      </x:c>
    </x:row>
    <x:row r="40" ht="43" customHeight="1">
      <x:c r="A40" s="2"/>
      <x:c r="B40" s="8" t="str">
        <x:v>C08</x:v>
      </x:c>
      <x:c r="C40" s="8" t="str">
        <x:v>P05,P12</x:v>
      </x:c>
      <x:c r="D40" s="15"/>
      <x:c r="E40" s="15"/>
      <x:c r="F40" s="15"/>
      <x:c r="G40" s="15"/>
      <x:c r="H40" s="15"/>
      <x:c r="I40" s="8" t="str">
        <x:v>Review, promotion, rollback and reproducible dependencies</x:v>
      </x:c>
    </x:row>
    <x:row r="41" ht="43" customHeight="1">
      <x:c r="A41" s="2"/>
      <x:c r="B41" s="8" t="str">
        <x:v>C09</x:v>
      </x:c>
      <x:c r="C41" s="8" t="str">
        <x:v>P07,P12</x:v>
      </x:c>
      <x:c r="D41" s="15"/>
      <x:c r="E41" s="15"/>
      <x:c r="F41" s="15"/>
      <x:c r="G41" s="15"/>
      <x:c r="H41" s="15"/>
      <x:c r="I41" s="8" t="str">
        <x:v>Measured operator effort and staffed ownership</x:v>
      </x:c>
    </x:row>
    <x:row r="42" ht="43" customHeight="1">
      <x:c r="A42" s="2"/>
      <x:c r="B42" s="8" t="str">
        <x:v>C10</x:v>
      </x:c>
      <x:c r="C42" s="8" t="str">
        <x:v>P03,P10</x:v>
      </x:c>
      <x:c r="D42" s="15"/>
      <x:c r="E42" s="15"/>
      <x:c r="F42" s="15"/>
      <x:c r="G42" s="15"/>
      <x:c r="H42" s="15"/>
      <x:c r="I42" s="8" t="str">
        <x:v>Only agreed future workload; no points for unused features</x:v>
      </x:c>
    </x:row>
    <x:row r="43" ht="43" customHeight="1">
      <x:c r="A43" s="2"/>
      <x:c r="B43" s="8" t="str">
        <x:v>C11</x:v>
      </x:c>
      <x:c r="C43" s="8" t="str">
        <x:v>P12</x:v>
      </x:c>
      <x:c r="D43" s="15"/>
      <x:c r="E43" s="15"/>
      <x:c r="F43" s="15"/>
      <x:c r="G43" s="15"/>
      <x:c r="H43" s="15"/>
      <x:c r="I43" s="8" t="str">
        <x:v>Written support boundaries, upgrades and export/rebuild</x:v>
      </x:c>
    </x:row>
    <x:row r="44" ht="43" customHeight="1">
      <x:c r="A44" s="2"/>
      <x:c r="B44" s="8" t="str">
        <x:v>C12</x:v>
      </x:c>
      <x:c r="C44" s="8" t="str">
        <x:v>RFI,TCO</x:v>
      </x:c>
      <x:c r="D44" s="15"/>
      <x:c r="E44" s="15"/>
      <x:c r="F44" s="15"/>
      <x:c r="G44" s="15"/>
      <x:c r="H44" s="15"/>
      <x:c r="I44" s="8" t="str">
        <x:v>Complete comparable quote/model, effort and sensitivity</x:v>
      </x:c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 t="str">
        <x:v>Rating anchors: 0 cannot meet; 1 major gaps; 2 partly meets; 3 meets; 4 exceeds; 5 proves agreed superior result.</x:v>
      </x:c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 t="str">
        <x:v>Change weights only by panel agreement for all candidates. Compare sensitivity before recommending a winner.</x:v>
      </x:c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</x:sheetData>
  <x:conditionalFormatting sqref="F6:F10">
    <x:cfRule type="cellIs" dxfId="2" priority="1" operator="equal">
      <x:formula>"Excluded"</x:formula>
    </x:cfRule>
  </x:conditionalFormatting>
  <x:conditionalFormatting sqref="C28:C28">
    <x:cfRule type="expression" dxfId="4" priority="2">
      <x:formula>C28&lt;&gt;100</x:formula>
    </x:cfRule>
  </x:conditionalFormatting>
  <x:dataValidations count="1">
    <x:dataValidation type="decimal" operator="between" sqref="D15:H26">
      <x:formula1>0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8" hidden="0" customWidth="1"/>
    <x:col min="3" max="3" width="3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7" customHeight="1">
      <x:c r="A2" s="2"/>
      <x:c r="B2" s="3" t="str">
        <x:v>Mandatory gates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2" t="str">
        <x:v>Unknown is Unverified, not Pass. The full assembled solution must satisfy every gate.</x:v>
      </x:c>
      <x:c r="C3" s="2"/>
      <x:c r="D3" s="2"/>
      <x:c r="E3" s="2"/>
      <x:c r="F3" s="2"/>
      <x:c r="G3" s="2"/>
      <x:c r="H3" s="2"/>
      <x:c r="I3" s="2"/>
    </x:row>
    <x:row r="4" ht="32" customHeight="1">
      <x:c r="A4" s="2"/>
      <x:c r="B4" s="7" t="str">
        <x:v>ID</x:v>
      </x:c>
      <x:c r="C4" s="7" t="str">
        <x:v>Gate</x:v>
      </x:c>
      <x:c r="D4" s="7" t="str">
        <x:v>Informatica PowerCenter</x:v>
      </x:c>
      <x:c r="E4" s="7" t="str">
        <x:v>Oracle ODI</x:v>
      </x:c>
      <x:c r="F4" s="7" t="str">
        <x:v>dbt Core v1 + Oracle</x:v>
      </x:c>
      <x:c r="G4" s="7" t="str">
        <x:v>Cloudera on premises</x:v>
      </x:c>
      <x:c r="H4" s="7" t="str">
        <x:v>Apache Spark on premises</x:v>
      </x:c>
      <x:c r="I4" s="7" t="str">
        <x:v>Acceptance authority / evidence</x:v>
      </x:c>
    </x:row>
    <x:row r="5">
      <x:c r="A5" s="2"/>
      <x:c r="B5" s="2" t="str">
        <x:v>Overall</x:v>
      </x:c>
      <x:c r="C5" s="2"/>
      <x:c r="D5" s="2" t="str">
        <x:f>IF(COUNTIFS(D7:D14,"Fail")&gt;0,"Fail",IF(AND(COUNTIFS(D7:D14,"Pass")=8,COUNTBLANK(D20:D27)=0),"Pass","Unverified"))</x:f>
        <x:v>Unverified</x:v>
      </x:c>
      <x:c r="E5" s="2" t="str">
        <x:f>IF(COUNTIFS(E7:E14,"Fail")&gt;0,"Fail",IF(AND(COUNTIFS(E7:E14,"Pass")=8,COUNTBLANK(E20:E27)=0),"Pass","Unverified"))</x:f>
        <x:v>Unverified</x:v>
      </x:c>
      <x:c r="F5" s="2" t="str">
        <x:f>IF(COUNTIFS(F7:F14,"Fail")&gt;0,"Fail",IF(AND(COUNTIFS(F7:F14,"Pass")=8,COUNTBLANK(F20:F27)=0),"Pass","Unverified"))</x:f>
        <x:v>Unverified</x:v>
      </x:c>
      <x:c r="G5" s="2" t="str">
        <x:f>IF(COUNTIFS(G7:G14,"Fail")&gt;0,"Fail",IF(AND(COUNTIFS(G7:G14,"Pass")=8,COUNTBLANK(G20:G27)=0),"Pass","Unverified"))</x:f>
        <x:v>Unverified</x:v>
      </x:c>
      <x:c r="H5" s="2" t="str">
        <x:f>IF(COUNTIFS(H7:H14,"Fail")&gt;0,"Fail",IF(AND(COUNTIFS(H7:H14,"Pass")=8,COUNTBLANK(H20:H27)=0),"Pass","Unverified"))</x:f>
        <x:v>Unverified</x:v>
      </x:c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44" customHeight="1">
      <x:c r="A7" s="2"/>
      <x:c r="B7" s="8" t="str">
        <x:v>G01</x:v>
      </x:c>
      <x:c r="C7" s="8" t="str">
        <x:v>All four planes on premises</x:v>
      </x:c>
      <x:c r="D7" s="15" t="str">
        <x:v>Unverified</x:v>
      </x:c>
      <x:c r="E7" s="15" t="str">
        <x:v>Unverified</x:v>
      </x:c>
      <x:c r="F7" s="15" t="str">
        <x:v>Unverified</x:v>
      </x:c>
      <x:c r="G7" s="15" t="str">
        <x:v>Unverified</x:v>
      </x:c>
      <x:c r="H7" s="15" t="str">
        <x:v>Unverified</x:v>
      </x:c>
      <x:c r="I7" s="8" t="str">
        <x:v>Security owner</x:v>
      </x:c>
    </x:row>
    <x:row r="8" ht="44" customHeight="1">
      <x:c r="A8" s="2"/>
      <x:c r="B8" s="8" t="str">
        <x:v>G02</x:v>
      </x:c>
      <x:c r="C8" s="8" t="str">
        <x:v>Supportable exact bill of materials</x:v>
      </x:c>
      <x:c r="D8" s="15" t="str">
        <x:v>Unverified</x:v>
      </x:c>
      <x:c r="E8" s="15" t="str">
        <x:v>Unverified</x:v>
      </x:c>
      <x:c r="F8" s="15" t="str">
        <x:v>Unverified</x:v>
      </x:c>
      <x:c r="G8" s="15" t="str">
        <x:v>Unverified</x:v>
      </x:c>
      <x:c r="H8" s="15" t="str">
        <x:v>Unverified</x:v>
      </x:c>
      <x:c r="I8" s="8" t="str">
        <x:v>Architecture / procurement</x:v>
      </x:c>
    </x:row>
    <x:row r="9" ht="44" customHeight="1">
      <x:c r="A9" s="2"/>
      <x:c r="B9" s="8" t="str">
        <x:v>G03</x:v>
      </x:c>
      <x:c r="C9" s="8" t="str">
        <x:v>Business correctness</x:v>
      </x:c>
      <x:c r="D9" s="15" t="str">
        <x:v>Unverified</x:v>
      </x:c>
      <x:c r="E9" s="15" t="str">
        <x:v>Unverified</x:v>
      </x:c>
      <x:c r="F9" s="15" t="str">
        <x:v>Unverified</x:v>
      </x:c>
      <x:c r="G9" s="15" t="str">
        <x:v>Unverified</x:v>
      </x:c>
      <x:c r="H9" s="15" t="str">
        <x:v>Unverified</x:v>
      </x:c>
      <x:c r="I9" s="8" t="str">
        <x:v>Business data / report owners</x:v>
      </x:c>
    </x:row>
    <x:row r="10" ht="44" customHeight="1">
      <x:c r="A10" s="2"/>
      <x:c r="B10" s="8" t="str">
        <x:v>G04</x:v>
      </x:c>
      <x:c r="C10" s="8" t="str">
        <x:v>Source safety and service deadline</x:v>
      </x:c>
      <x:c r="D10" s="15" t="str">
        <x:v>Unverified</x:v>
      </x:c>
      <x:c r="E10" s="15" t="str">
        <x:v>Unverified</x:v>
      </x:c>
      <x:c r="F10" s="15" t="str">
        <x:v>Unverified</x:v>
      </x:c>
      <x:c r="G10" s="15" t="str">
        <x:v>Unverified</x:v>
      </x:c>
      <x:c r="H10" s="15" t="str">
        <x:v>Unverified</x:v>
      </x:c>
      <x:c r="I10" s="8" t="str">
        <x:v>Source / service owners</x:v>
      </x:c>
    </x:row>
    <x:row r="11" ht="44" customHeight="1">
      <x:c r="A11" s="2"/>
      <x:c r="B11" s="8" t="str">
        <x:v>G05</x:v>
      </x:c>
      <x:c r="C11" s="8" t="str">
        <x:v>Restart, replay and disaster recovery</x:v>
      </x:c>
      <x:c r="D11" s="15" t="str">
        <x:v>Unverified</x:v>
      </x:c>
      <x:c r="E11" s="15" t="str">
        <x:v>Unverified</x:v>
      </x:c>
      <x:c r="F11" s="15" t="str">
        <x:v>Unverified</x:v>
      </x:c>
      <x:c r="G11" s="15" t="str">
        <x:v>Unverified</x:v>
      </x:c>
      <x:c r="H11" s="15" t="str">
        <x:v>Unverified</x:v>
      </x:c>
      <x:c r="I11" s="8" t="str">
        <x:v>End-to-end service owner</x:v>
      </x:c>
    </x:row>
    <x:row r="12" ht="44" customHeight="1">
      <x:c r="A12" s="2"/>
      <x:c r="B12" s="8" t="str">
        <x:v>G06</x:v>
      </x:c>
      <x:c r="C12" s="8" t="str">
        <x:v>Access and audit controls</x:v>
      </x:c>
      <x:c r="D12" s="15" t="str">
        <x:v>Unverified</x:v>
      </x:c>
      <x:c r="E12" s="15" t="str">
        <x:v>Unverified</x:v>
      </x:c>
      <x:c r="F12" s="15" t="str">
        <x:v>Unverified</x:v>
      </x:c>
      <x:c r="G12" s="15" t="str">
        <x:v>Unverified</x:v>
      </x:c>
      <x:c r="H12" s="15" t="str">
        <x:v>Unverified</x:v>
      </x:c>
      <x:c r="I12" s="8" t="str">
        <x:v>Security owner</x:v>
      </x:c>
    </x:row>
    <x:row r="13" ht="44" customHeight="1">
      <x:c r="A13" s="2"/>
      <x:c r="B13" s="8" t="str">
        <x:v>G07</x:v>
      </x:c>
      <x:c r="C13" s="8" t="str">
        <x:v>Traceable controlled publication</x:v>
      </x:c>
      <x:c r="D13" s="15" t="str">
        <x:v>Unverified</x:v>
      </x:c>
      <x:c r="E13" s="15" t="str">
        <x:v>Unverified</x:v>
      </x:c>
      <x:c r="F13" s="15" t="str">
        <x:v>Unverified</x:v>
      </x:c>
      <x:c r="G13" s="15" t="str">
        <x:v>Unverified</x:v>
      </x:c>
      <x:c r="H13" s="15" t="str">
        <x:v>Unverified</x:v>
      </x:c>
      <x:c r="I13" s="8" t="str">
        <x:v>Report business owner</x:v>
      </x:c>
    </x:row>
    <x:row r="14" ht="44" customHeight="1">
      <x:c r="A14" s="2"/>
      <x:c r="B14" s="8" t="str">
        <x:v>G08</x:v>
      </x:c>
      <x:c r="C14" s="8" t="str">
        <x:v>Staffed operating model</x:v>
      </x:c>
      <x:c r="D14" s="15" t="str">
        <x:v>Unverified</x:v>
      </x:c>
      <x:c r="E14" s="15" t="str">
        <x:v>Unverified</x:v>
      </x:c>
      <x:c r="F14" s="15" t="str">
        <x:v>Unverified</x:v>
      </x:c>
      <x:c r="G14" s="15" t="str">
        <x:v>Unverified</x:v>
      </x:c>
      <x:c r="H14" s="15" t="str">
        <x:v>Unverified</x:v>
      </x:c>
      <x:c r="I14" s="8" t="str">
        <x:v>Service / platform owners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</x:row>
    <x:row r="17">
      <x:c r="A17" s="2"/>
      <x:c r="B17" s="2" t="str">
        <x:v>Evidence and approval references; resolve authorities to named bank personnel before acceptance.</x:v>
      </x:c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32" customHeight="1">
      <x:c r="A19" s="2"/>
      <x:c r="B19" s="7" t="str">
        <x:v>ID</x:v>
      </x:c>
      <x:c r="C19" s="7" t="str">
        <x:v>Required test</x:v>
      </x:c>
      <x:c r="D19" s="7" t="str">
        <x:v>Informatica PowerCenter</x:v>
      </x:c>
      <x:c r="E19" s="7" t="str">
        <x:v>Oracle ODI</x:v>
      </x:c>
      <x:c r="F19" s="7" t="str">
        <x:v>dbt Core v1 + Oracle</x:v>
      </x:c>
      <x:c r="G19" s="7" t="str">
        <x:v>Cloudera on premises</x:v>
      </x:c>
      <x:c r="H19" s="7" t="str">
        <x:v>Apache Spark on premises</x:v>
      </x:c>
      <x:c r="I19" s="7" t="str">
        <x:v>Required evidence</x:v>
      </x:c>
    </x:row>
    <x:row r="20" ht="48" customHeight="1">
      <x:c r="A20" s="2"/>
      <x:c r="B20" s="8" t="str">
        <x:v>G01</x:v>
      </x:c>
      <x:c r="C20" s="8" t="str">
        <x:v>P01</x:v>
      </x:c>
      <x:c r="D20" s="15"/>
      <x:c r="E20" s="15"/>
      <x:c r="F20" s="15"/>
      <x:c r="G20" s="15"/>
      <x:c r="H20" s="15"/>
      <x:c r="I20" s="8" t="str">
        <x:v>P01: network evidence; local install/run/restart/update/log handling</x:v>
      </x:c>
    </x:row>
    <x:row r="21" ht="48" customHeight="1">
      <x:c r="A21" s="2"/>
      <x:c r="B21" s="8" t="str">
        <x:v>G02</x:v>
      </x:c>
      <x:c r="C21" s="8" t="str">
        <x:v>P12</x:v>
      </x:c>
      <x:c r="D21" s="15"/>
      <x:c r="E21" s="15"/>
      <x:c r="F21" s="15"/>
      <x:c r="G21" s="15"/>
      <x:c r="H21" s="15"/>
      <x:c r="I21" s="8" t="str">
        <x:v>P12: pinned editions/versions, licenses, support and lifecycle</x:v>
      </x:c>
    </x:row>
    <x:row r="22" ht="48" customHeight="1">
      <x:c r="A22" s="2"/>
      <x:c r="B22" s="8" t="str">
        <x:v>G03</x:v>
      </x:c>
      <x:c r="C22" s="8" t="str">
        <x:v>P04-P06</x:v>
      </x:c>
      <x:c r="D22" s="15"/>
      <x:c r="E22" s="15"/>
      <x:c r="F22" s="15"/>
      <x:c r="G22" s="15"/>
      <x:c r="H22" s="15"/>
      <x:c r="I22" s="8" t="str">
        <x:v>P04-P06: counts, exact amounts, history and controls accepted</x:v>
      </x:c>
    </x:row>
    <x:row r="23" ht="48" customHeight="1">
      <x:c r="A23" s="2"/>
      <x:c r="B23" s="8" t="str">
        <x:v>G04</x:v>
      </x:c>
      <x:c r="C23" s="8" t="str">
        <x:v>P02,P10</x:v>
      </x:c>
      <x:c r="D23" s="15"/>
      <x:c r="E23" s="15"/>
      <x:c r="F23" s="15"/>
      <x:c r="G23" s="15"/>
      <x:c r="H23" s="15"/>
      <x:c r="I23" s="8" t="str">
        <x:v>P02,P10: agreed resource cap and delivery target satisfied</x:v>
      </x:c>
    </x:row>
    <x:row r="24" ht="48" customHeight="1">
      <x:c r="A24" s="2"/>
      <x:c r="B24" s="8" t="str">
        <x:v>G05</x:v>
      </x:c>
      <x:c r="C24" s="8" t="str">
        <x:v>P07,P08</x:v>
      </x:c>
      <x:c r="D24" s="15"/>
      <x:c r="E24" s="15"/>
      <x:c r="F24" s="15"/>
      <x:c r="G24" s="15"/>
      <x:c r="H24" s="15"/>
      <x:c r="I24" s="8" t="str">
        <x:v>P07,P08: accepted RPO/RTO and no lost/duplicate publication</x:v>
      </x:c>
    </x:row>
    <x:row r="25" ht="48" customHeight="1">
      <x:c r="A25" s="2"/>
      <x:c r="B25" s="8" t="str">
        <x:v>G06</x:v>
      </x:c>
      <x:c r="C25" s="8" t="str">
        <x:v>P11</x:v>
      </x:c>
      <x:c r="D25" s="15"/>
      <x:c r="E25" s="15"/>
      <x:c r="F25" s="15"/>
      <x:c r="G25" s="15"/>
      <x:c r="H25" s="15"/>
      <x:c r="I25" s="8" t="str">
        <x:v>P11: least privilege, secrets, masking and audit evidence</x:v>
      </x:c>
    </x:row>
    <x:row r="26" ht="48" customHeight="1">
      <x:c r="A26" s="2"/>
      <x:c r="B26" s="8" t="str">
        <x:v>G07</x:v>
      </x:c>
      <x:c r="C26" s="8" t="str">
        <x:v>P06,P09</x:v>
      </x:c>
      <x:c r="D26" s="15"/>
      <x:c r="E26" s="15"/>
      <x:c r="F26" s="15"/>
      <x:c r="G26" s="15"/>
      <x:c r="H26" s="15"/>
      <x:c r="I26" s="8" t="str">
        <x:v>P06,P09: fail-closed controls, version and delivery evidence</x:v>
      </x:c>
    </x:row>
    <x:row r="27" ht="48" customHeight="1">
      <x:c r="A27" s="2"/>
      <x:c r="B27" s="8" t="str">
        <x:v>G08</x:v>
      </x:c>
      <x:c r="C27" s="8" t="str">
        <x:v>P12</x:v>
      </x:c>
      <x:c r="D27" s="15"/>
      <x:c r="E27" s="15"/>
      <x:c r="F27" s="15"/>
      <x:c r="G27" s="15"/>
      <x:c r="H27" s="15"/>
      <x:c r="I27" s="8" t="str">
        <x:v>P12: runbooks, escalation, component ownership and handover</x:v>
      </x:c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 t="str">
        <x:v>Informatica column is PowerCenter only. IDMC / cloud-managed CDI-PC fail the user-defined G01 boundary.</x:v>
      </x:c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conditionalFormatting sqref="D7:H14">
    <x:cfRule type="cellIs" dxfId="0" priority="1" operator="equal">
      <x:formula>"Fail"</x:formula>
    </x:cfRule>
  </x:conditionalFormatting>
  <x:conditionalFormatting sqref="D5:H5">
    <x:cfRule type="cellIs" dxfId="1" priority="2" operator="equal">
      <x:formula>"Fail"</x:formula>
    </x:cfRule>
  </x:conditionalFormatting>
  <x:dataValidations count="1">
    <x:dataValidation type="list" sqref="D7:H14">
      <x:formula1>"Unverified,Pass,Fail"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14" hidden="0" customWidth="1"/>
    <x:col min="3" max="3" width="29" hidden="0" customWidth="1"/>
    <x:col min="4" max="4" width="10" hidden="0" customWidth="1"/>
    <x:col min="5" max="5" width="32" hidden="0" customWidth="1"/>
    <x:col min="6" max="6" width="14" hidden="0" customWidth="1"/>
    <x:col min="7" max="7" width="44" hidden="0" customWidth="1"/>
    <x:col min="8" max="8" width="44" hidden="0" customWidth="1"/>
    <x:col min="9" max="9" width="20" hidden="0" customWidth="1"/>
    <x:col min="10" max="10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2"/>
      <x:c r="B2" s="3" t="str">
        <x:v>Proof-of-concept results</x:v>
      </x:c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 t="str">
        <x:v>All tests are Not run. Record results against the exact versions, resources and agreed thresholds.</x:v>
      </x:c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2"/>
      <x:c r="B5" s="7" t="str">
        <x:v>Run ID</x:v>
      </x:c>
      <x:c r="C5" s="7" t="str">
        <x:v>Candidate</x:v>
      </x:c>
      <x:c r="D5" s="7" t="str">
        <x:v>Test ID</x:v>
      </x:c>
      <x:c r="E5" s="7" t="str">
        <x:v>Test</x:v>
      </x:c>
      <x:c r="F5" s="7" t="str">
        <x:v>Result</x:v>
      </x:c>
      <x:c r="G5" s="7" t="str">
        <x:v>Observed result / threshold</x:v>
      </x:c>
      <x:c r="H5" s="7" t="str">
        <x:v>Evidence reference</x:v>
      </x:c>
      <x:c r="I5" s="7" t="str">
        <x:v>Reviewer</x:v>
      </x:c>
      <x:c r="J5" s="7" t="str">
        <x:v>Date</x:v>
      </x:c>
    </x:row>
    <x:row r="6" ht="31" customHeight="1">
      <x:c r="A6" s="2"/>
      <x:c r="B6" s="8" t="str">
        <x:v>O1-P01</x:v>
      </x:c>
      <x:c r="C6" s="8" t="str">
        <x:v>Informatica PowerCenter</x:v>
      </x:c>
      <x:c r="D6" s="8" t="str">
        <x:v>P01</x:v>
      </x:c>
      <x:c r="E6" s="8" t="str">
        <x:v>Disconnected deployment</x:v>
      </x:c>
      <x:c r="F6" s="15" t="str">
        <x:v>Not run</x:v>
      </x:c>
      <x:c r="G6" s="15"/>
      <x:c r="H6" s="15"/>
      <x:c r="I6" s="15"/>
      <x:c r="J6" s="16"/>
    </x:row>
    <x:row r="7" ht="31" customHeight="1">
      <x:c r="A7" s="2"/>
      <x:c r="B7" s="8" t="str">
        <x:v>O1-P02</x:v>
      </x:c>
      <x:c r="C7" s="8" t="str">
        <x:v>Informatica PowerCenter</x:v>
      </x:c>
      <x:c r="D7" s="8" t="str">
        <x:v>P02</x:v>
      </x:c>
      <x:c r="E7" s="8" t="str">
        <x:v>Oracle batch and consistency</x:v>
      </x:c>
      <x:c r="F7" s="15" t="str">
        <x:v>Not run</x:v>
      </x:c>
      <x:c r="G7" s="15"/>
      <x:c r="H7" s="15"/>
      <x:c r="I7" s="15"/>
      <x:c r="J7" s="16"/>
    </x:row>
    <x:row r="8" ht="31" customHeight="1">
      <x:c r="A8" s="2"/>
      <x:c r="B8" s="8" t="str">
        <x:v>O1-P03</x:v>
      </x:c>
      <x:c r="C8" s="8" t="str">
        <x:v>Informatica PowerCenter</x:v>
      </x:c>
      <x:c r="D8" s="8" t="str">
        <x:v>P03</x:v>
      </x:c>
      <x:c r="E8" s="8" t="str">
        <x:v>Files and API intake</x:v>
      </x:c>
      <x:c r="F8" s="15" t="str">
        <x:v>Not run</x:v>
      </x:c>
      <x:c r="G8" s="15"/>
      <x:c r="H8" s="15"/>
      <x:c r="I8" s="15"/>
      <x:c r="J8" s="16"/>
    </x:row>
    <x:row r="9" ht="31" customHeight="1">
      <x:c r="A9" s="2"/>
      <x:c r="B9" s="8" t="str">
        <x:v>O1-P04</x:v>
      </x:c>
      <x:c r="C9" s="8" t="str">
        <x:v>Informatica PowerCenter</x:v>
      </x:c>
      <x:c r="D9" s="8" t="str">
        <x:v>P04</x:v>
      </x:c>
      <x:c r="E9" s="8" t="str">
        <x:v>Incremental change capture</x:v>
      </x:c>
      <x:c r="F9" s="15" t="str">
        <x:v>Not run</x:v>
      </x:c>
      <x:c r="G9" s="15"/>
      <x:c r="H9" s="15"/>
      <x:c r="I9" s="15"/>
      <x:c r="J9" s="16"/>
    </x:row>
    <x:row r="10" ht="31" customHeight="1">
      <x:c r="A10" s="2"/>
      <x:c r="B10" s="8" t="str">
        <x:v>O1-P05</x:v>
      </x:c>
      <x:c r="C10" s="8" t="str">
        <x:v>Informatica PowerCenter</x:v>
      </x:c>
      <x:c r="D10" s="8" t="str">
        <x:v>P05</x:v>
      </x:c>
      <x:c r="E10" s="8" t="str">
        <x:v>Historical correction</x:v>
      </x:c>
      <x:c r="F10" s="15" t="str">
        <x:v>Not run</x:v>
      </x:c>
      <x:c r="G10" s="15"/>
      <x:c r="H10" s="15"/>
      <x:c r="I10" s="15"/>
      <x:c r="J10" s="16"/>
    </x:row>
    <x:row r="11" ht="31" customHeight="1">
      <x:c r="A11" s="2"/>
      <x:c r="B11" s="8" t="str">
        <x:v>O1-P06</x:v>
      </x:c>
      <x:c r="C11" s="8" t="str">
        <x:v>Informatica PowerCenter</x:v>
      </x:c>
      <x:c r="D11" s="8" t="str">
        <x:v>P06</x:v>
      </x:c>
      <x:c r="E11" s="8" t="str">
        <x:v>Business reconciliation</x:v>
      </x:c>
      <x:c r="F11" s="15" t="str">
        <x:v>Not run</x:v>
      </x:c>
      <x:c r="G11" s="15"/>
      <x:c r="H11" s="15"/>
      <x:c r="I11" s="15"/>
      <x:c r="J11" s="16"/>
    </x:row>
    <x:row r="12" ht="31" customHeight="1">
      <x:c r="A12" s="2"/>
      <x:c r="B12" s="8" t="str">
        <x:v>O1-P07</x:v>
      </x:c>
      <x:c r="C12" s="8" t="str">
        <x:v>Informatica PowerCenter</x:v>
      </x:c>
      <x:c r="D12" s="8" t="str">
        <x:v>P07</x:v>
      </x:c>
      <x:c r="E12" s="8" t="str">
        <x:v>Partial failure and replay</x:v>
      </x:c>
      <x:c r="F12" s="15" t="str">
        <x:v>Not run</x:v>
      </x:c>
      <x:c r="G12" s="15"/>
      <x:c r="H12" s="15"/>
      <x:c r="I12" s="15"/>
      <x:c r="J12" s="16"/>
    </x:row>
    <x:row r="13" ht="31" customHeight="1">
      <x:c r="A13" s="2"/>
      <x:c r="B13" s="8" t="str">
        <x:v>O1-P08</x:v>
      </x:c>
      <x:c r="C13" s="8" t="str">
        <x:v>Informatica PowerCenter</x:v>
      </x:c>
      <x:c r="D13" s="8" t="str">
        <x:v>P08</x:v>
      </x:c>
      <x:c r="E13" s="8" t="str">
        <x:v>Disaster recovery</x:v>
      </x:c>
      <x:c r="F13" s="15" t="str">
        <x:v>Not run</x:v>
      </x:c>
      <x:c r="G13" s="15"/>
      <x:c r="H13" s="15"/>
      <x:c r="I13" s="15"/>
      <x:c r="J13" s="16"/>
    </x:row>
    <x:row r="14" ht="31" customHeight="1">
      <x:c r="A14" s="2"/>
      <x:c r="B14" s="8" t="str">
        <x:v>O1-P09</x:v>
      </x:c>
      <x:c r="C14" s="8" t="str">
        <x:v>Informatica PowerCenter</x:v>
      </x:c>
      <x:c r="D14" s="8" t="str">
        <x:v>P09</x:v>
      </x:c>
      <x:c r="E14" s="8" t="str">
        <x:v>Controlled output delivery</x:v>
      </x:c>
      <x:c r="F14" s="15" t="str">
        <x:v>Not run</x:v>
      </x:c>
      <x:c r="G14" s="15"/>
      <x:c r="H14" s="15"/>
      <x:c r="I14" s="15"/>
      <x:c r="J14" s="16"/>
    </x:row>
    <x:row r="15" ht="31" customHeight="1">
      <x:c r="A15" s="2"/>
      <x:c r="B15" s="8" t="str">
        <x:v>O1-P10</x:v>
      </x:c>
      <x:c r="C15" s="8" t="str">
        <x:v>Informatica PowerCenter</x:v>
      </x:c>
      <x:c r="D15" s="8" t="str">
        <x:v>P10</x:v>
      </x:c>
      <x:c r="E15" s="8" t="str">
        <x:v>Concurrent load and scale</x:v>
      </x:c>
      <x:c r="F15" s="15" t="str">
        <x:v>Not run</x:v>
      </x:c>
      <x:c r="G15" s="15"/>
      <x:c r="H15" s="15"/>
      <x:c r="I15" s="15"/>
      <x:c r="J15" s="16"/>
    </x:row>
    <x:row r="16" ht="31" customHeight="1">
      <x:c r="A16" s="2"/>
      <x:c r="B16" s="8" t="str">
        <x:v>O1-P11</x:v>
      </x:c>
      <x:c r="C16" s="8" t="str">
        <x:v>Informatica PowerCenter</x:v>
      </x:c>
      <x:c r="D16" s="8" t="str">
        <x:v>P11</x:v>
      </x:c>
      <x:c r="E16" s="8" t="str">
        <x:v>Security and audit</x:v>
      </x:c>
      <x:c r="F16" s="15" t="str">
        <x:v>Not run</x:v>
      </x:c>
      <x:c r="G16" s="15"/>
      <x:c r="H16" s="15"/>
      <x:c r="I16" s="15"/>
      <x:c r="J16" s="16"/>
    </x:row>
    <x:row r="17" ht="31" customHeight="1">
      <x:c r="A17" s="2"/>
      <x:c r="B17" s="8" t="str">
        <x:v>O1-P12</x:v>
      </x:c>
      <x:c r="C17" s="8" t="str">
        <x:v>Informatica PowerCenter</x:v>
      </x:c>
      <x:c r="D17" s="8" t="str">
        <x:v>P12</x:v>
      </x:c>
      <x:c r="E17" s="8" t="str">
        <x:v>Release, support and handover</x:v>
      </x:c>
      <x:c r="F17" s="15" t="str">
        <x:v>Not run</x:v>
      </x:c>
      <x:c r="G17" s="15"/>
      <x:c r="H17" s="15"/>
      <x:c r="I17" s="15"/>
      <x:c r="J17" s="16"/>
    </x:row>
    <x:row r="18" ht="31" customHeight="1">
      <x:c r="A18" s="2"/>
      <x:c r="B18" s="8" t="str">
        <x:v>O2-P01</x:v>
      </x:c>
      <x:c r="C18" s="8" t="str">
        <x:v>Oracle ODI</x:v>
      </x:c>
      <x:c r="D18" s="8" t="str">
        <x:v>P01</x:v>
      </x:c>
      <x:c r="E18" s="8" t="str">
        <x:v>Disconnected deployment</x:v>
      </x:c>
      <x:c r="F18" s="15" t="str">
        <x:v>Not run</x:v>
      </x:c>
      <x:c r="G18" s="15"/>
      <x:c r="H18" s="15"/>
      <x:c r="I18" s="15"/>
      <x:c r="J18" s="16"/>
    </x:row>
    <x:row r="19" ht="31" customHeight="1">
      <x:c r="A19" s="2"/>
      <x:c r="B19" s="8" t="str">
        <x:v>O2-P02</x:v>
      </x:c>
      <x:c r="C19" s="8" t="str">
        <x:v>Oracle ODI</x:v>
      </x:c>
      <x:c r="D19" s="8" t="str">
        <x:v>P02</x:v>
      </x:c>
      <x:c r="E19" s="8" t="str">
        <x:v>Oracle batch and consistency</x:v>
      </x:c>
      <x:c r="F19" s="15" t="str">
        <x:v>Not run</x:v>
      </x:c>
      <x:c r="G19" s="15"/>
      <x:c r="H19" s="15"/>
      <x:c r="I19" s="15"/>
      <x:c r="J19" s="16"/>
    </x:row>
    <x:row r="20" ht="31" customHeight="1">
      <x:c r="A20" s="2"/>
      <x:c r="B20" s="8" t="str">
        <x:v>O2-P03</x:v>
      </x:c>
      <x:c r="C20" s="8" t="str">
        <x:v>Oracle ODI</x:v>
      </x:c>
      <x:c r="D20" s="8" t="str">
        <x:v>P03</x:v>
      </x:c>
      <x:c r="E20" s="8" t="str">
        <x:v>Files and API intake</x:v>
      </x:c>
      <x:c r="F20" s="15" t="str">
        <x:v>Not run</x:v>
      </x:c>
      <x:c r="G20" s="15"/>
      <x:c r="H20" s="15"/>
      <x:c r="I20" s="15"/>
      <x:c r="J20" s="16"/>
    </x:row>
    <x:row r="21" ht="31" customHeight="1">
      <x:c r="A21" s="2"/>
      <x:c r="B21" s="8" t="str">
        <x:v>O2-P04</x:v>
      </x:c>
      <x:c r="C21" s="8" t="str">
        <x:v>Oracle ODI</x:v>
      </x:c>
      <x:c r="D21" s="8" t="str">
        <x:v>P04</x:v>
      </x:c>
      <x:c r="E21" s="8" t="str">
        <x:v>Incremental change capture</x:v>
      </x:c>
      <x:c r="F21" s="15" t="str">
        <x:v>Not run</x:v>
      </x:c>
      <x:c r="G21" s="15"/>
      <x:c r="H21" s="15"/>
      <x:c r="I21" s="15"/>
      <x:c r="J21" s="16"/>
    </x:row>
    <x:row r="22" ht="31" customHeight="1">
      <x:c r="A22" s="2"/>
      <x:c r="B22" s="8" t="str">
        <x:v>O2-P05</x:v>
      </x:c>
      <x:c r="C22" s="8" t="str">
        <x:v>Oracle ODI</x:v>
      </x:c>
      <x:c r="D22" s="8" t="str">
        <x:v>P05</x:v>
      </x:c>
      <x:c r="E22" s="8" t="str">
        <x:v>Historical correction</x:v>
      </x:c>
      <x:c r="F22" s="15" t="str">
        <x:v>Not run</x:v>
      </x:c>
      <x:c r="G22" s="15"/>
      <x:c r="H22" s="15"/>
      <x:c r="I22" s="15"/>
      <x:c r="J22" s="16"/>
    </x:row>
    <x:row r="23" ht="31" customHeight="1">
      <x:c r="A23" s="2"/>
      <x:c r="B23" s="8" t="str">
        <x:v>O2-P06</x:v>
      </x:c>
      <x:c r="C23" s="8" t="str">
        <x:v>Oracle ODI</x:v>
      </x:c>
      <x:c r="D23" s="8" t="str">
        <x:v>P06</x:v>
      </x:c>
      <x:c r="E23" s="8" t="str">
        <x:v>Business reconciliation</x:v>
      </x:c>
      <x:c r="F23" s="15" t="str">
        <x:v>Not run</x:v>
      </x:c>
      <x:c r="G23" s="15"/>
      <x:c r="H23" s="15"/>
      <x:c r="I23" s="15"/>
      <x:c r="J23" s="16"/>
    </x:row>
    <x:row r="24" ht="31" customHeight="1">
      <x:c r="A24" s="2"/>
      <x:c r="B24" s="8" t="str">
        <x:v>O2-P07</x:v>
      </x:c>
      <x:c r="C24" s="8" t="str">
        <x:v>Oracle ODI</x:v>
      </x:c>
      <x:c r="D24" s="8" t="str">
        <x:v>P07</x:v>
      </x:c>
      <x:c r="E24" s="8" t="str">
        <x:v>Partial failure and replay</x:v>
      </x:c>
      <x:c r="F24" s="15" t="str">
        <x:v>Not run</x:v>
      </x:c>
      <x:c r="G24" s="15"/>
      <x:c r="H24" s="15"/>
      <x:c r="I24" s="15"/>
      <x:c r="J24" s="16"/>
    </x:row>
    <x:row r="25" ht="31" customHeight="1">
      <x:c r="A25" s="2"/>
      <x:c r="B25" s="8" t="str">
        <x:v>O2-P08</x:v>
      </x:c>
      <x:c r="C25" s="8" t="str">
        <x:v>Oracle ODI</x:v>
      </x:c>
      <x:c r="D25" s="8" t="str">
        <x:v>P08</x:v>
      </x:c>
      <x:c r="E25" s="8" t="str">
        <x:v>Disaster recovery</x:v>
      </x:c>
      <x:c r="F25" s="15" t="str">
        <x:v>Not run</x:v>
      </x:c>
      <x:c r="G25" s="15"/>
      <x:c r="H25" s="15"/>
      <x:c r="I25" s="15"/>
      <x:c r="J25" s="16"/>
    </x:row>
    <x:row r="26" ht="31" customHeight="1">
      <x:c r="A26" s="2"/>
      <x:c r="B26" s="8" t="str">
        <x:v>O2-P09</x:v>
      </x:c>
      <x:c r="C26" s="8" t="str">
        <x:v>Oracle ODI</x:v>
      </x:c>
      <x:c r="D26" s="8" t="str">
        <x:v>P09</x:v>
      </x:c>
      <x:c r="E26" s="8" t="str">
        <x:v>Controlled output delivery</x:v>
      </x:c>
      <x:c r="F26" s="15" t="str">
        <x:v>Not run</x:v>
      </x:c>
      <x:c r="G26" s="15"/>
      <x:c r="H26" s="15"/>
      <x:c r="I26" s="15"/>
      <x:c r="J26" s="16"/>
    </x:row>
    <x:row r="27" ht="31" customHeight="1">
      <x:c r="A27" s="2"/>
      <x:c r="B27" s="8" t="str">
        <x:v>O2-P10</x:v>
      </x:c>
      <x:c r="C27" s="8" t="str">
        <x:v>Oracle ODI</x:v>
      </x:c>
      <x:c r="D27" s="8" t="str">
        <x:v>P10</x:v>
      </x:c>
      <x:c r="E27" s="8" t="str">
        <x:v>Concurrent load and scale</x:v>
      </x:c>
      <x:c r="F27" s="15" t="str">
        <x:v>Not run</x:v>
      </x:c>
      <x:c r="G27" s="15"/>
      <x:c r="H27" s="15"/>
      <x:c r="I27" s="15"/>
      <x:c r="J27" s="16"/>
    </x:row>
    <x:row r="28" ht="31" customHeight="1">
      <x:c r="A28" s="2"/>
      <x:c r="B28" s="8" t="str">
        <x:v>O2-P11</x:v>
      </x:c>
      <x:c r="C28" s="8" t="str">
        <x:v>Oracle ODI</x:v>
      </x:c>
      <x:c r="D28" s="8" t="str">
        <x:v>P11</x:v>
      </x:c>
      <x:c r="E28" s="8" t="str">
        <x:v>Security and audit</x:v>
      </x:c>
      <x:c r="F28" s="15" t="str">
        <x:v>Not run</x:v>
      </x:c>
      <x:c r="G28" s="15"/>
      <x:c r="H28" s="15"/>
      <x:c r="I28" s="15"/>
      <x:c r="J28" s="16"/>
    </x:row>
    <x:row r="29" ht="31" customHeight="1">
      <x:c r="A29" s="2"/>
      <x:c r="B29" s="8" t="str">
        <x:v>O2-P12</x:v>
      </x:c>
      <x:c r="C29" s="8" t="str">
        <x:v>Oracle ODI</x:v>
      </x:c>
      <x:c r="D29" s="8" t="str">
        <x:v>P12</x:v>
      </x:c>
      <x:c r="E29" s="8" t="str">
        <x:v>Release, support and handover</x:v>
      </x:c>
      <x:c r="F29" s="15" t="str">
        <x:v>Not run</x:v>
      </x:c>
      <x:c r="G29" s="15"/>
      <x:c r="H29" s="15"/>
      <x:c r="I29" s="15"/>
      <x:c r="J29" s="16"/>
    </x:row>
    <x:row r="30" ht="31" customHeight="1">
      <x:c r="A30" s="2"/>
      <x:c r="B30" s="8" t="str">
        <x:v>O3-P01</x:v>
      </x:c>
      <x:c r="C30" s="8" t="str">
        <x:v>dbt Core v1 + Oracle</x:v>
      </x:c>
      <x:c r="D30" s="8" t="str">
        <x:v>P01</x:v>
      </x:c>
      <x:c r="E30" s="8" t="str">
        <x:v>Disconnected deployment</x:v>
      </x:c>
      <x:c r="F30" s="15" t="str">
        <x:v>Not run</x:v>
      </x:c>
      <x:c r="G30" s="15"/>
      <x:c r="H30" s="15"/>
      <x:c r="I30" s="15"/>
      <x:c r="J30" s="16"/>
    </x:row>
    <x:row r="31" ht="31" customHeight="1">
      <x:c r="A31" s="2"/>
      <x:c r="B31" s="8" t="str">
        <x:v>O3-P02</x:v>
      </x:c>
      <x:c r="C31" s="8" t="str">
        <x:v>dbt Core v1 + Oracle</x:v>
      </x:c>
      <x:c r="D31" s="8" t="str">
        <x:v>P02</x:v>
      </x:c>
      <x:c r="E31" s="8" t="str">
        <x:v>Oracle batch and consistency</x:v>
      </x:c>
      <x:c r="F31" s="15" t="str">
        <x:v>Not run</x:v>
      </x:c>
      <x:c r="G31" s="15"/>
      <x:c r="H31" s="15"/>
      <x:c r="I31" s="15"/>
      <x:c r="J31" s="16"/>
    </x:row>
    <x:row r="32" ht="31" customHeight="1">
      <x:c r="A32" s="2"/>
      <x:c r="B32" s="8" t="str">
        <x:v>O3-P03</x:v>
      </x:c>
      <x:c r="C32" s="8" t="str">
        <x:v>dbt Core v1 + Oracle</x:v>
      </x:c>
      <x:c r="D32" s="8" t="str">
        <x:v>P03</x:v>
      </x:c>
      <x:c r="E32" s="8" t="str">
        <x:v>Files and API intake</x:v>
      </x:c>
      <x:c r="F32" s="15" t="str">
        <x:v>Not run</x:v>
      </x:c>
      <x:c r="G32" s="15"/>
      <x:c r="H32" s="15"/>
      <x:c r="I32" s="15"/>
      <x:c r="J32" s="16"/>
    </x:row>
    <x:row r="33" ht="31" customHeight="1">
      <x:c r="A33" s="2"/>
      <x:c r="B33" s="8" t="str">
        <x:v>O3-P04</x:v>
      </x:c>
      <x:c r="C33" s="8" t="str">
        <x:v>dbt Core v1 + Oracle</x:v>
      </x:c>
      <x:c r="D33" s="8" t="str">
        <x:v>P04</x:v>
      </x:c>
      <x:c r="E33" s="8" t="str">
        <x:v>Incremental change capture</x:v>
      </x:c>
      <x:c r="F33" s="15" t="str">
        <x:v>Not run</x:v>
      </x:c>
      <x:c r="G33" s="15"/>
      <x:c r="H33" s="15"/>
      <x:c r="I33" s="15"/>
      <x:c r="J33" s="16"/>
    </x:row>
    <x:row r="34" ht="31" customHeight="1">
      <x:c r="A34" s="2"/>
      <x:c r="B34" s="8" t="str">
        <x:v>O3-P05</x:v>
      </x:c>
      <x:c r="C34" s="8" t="str">
        <x:v>dbt Core v1 + Oracle</x:v>
      </x:c>
      <x:c r="D34" s="8" t="str">
        <x:v>P05</x:v>
      </x:c>
      <x:c r="E34" s="8" t="str">
        <x:v>Historical correction</x:v>
      </x:c>
      <x:c r="F34" s="15" t="str">
        <x:v>Not run</x:v>
      </x:c>
      <x:c r="G34" s="15"/>
      <x:c r="H34" s="15"/>
      <x:c r="I34" s="15"/>
      <x:c r="J34" s="16"/>
    </x:row>
    <x:row r="35" ht="31" customHeight="1">
      <x:c r="A35" s="2"/>
      <x:c r="B35" s="8" t="str">
        <x:v>O3-P06</x:v>
      </x:c>
      <x:c r="C35" s="8" t="str">
        <x:v>dbt Core v1 + Oracle</x:v>
      </x:c>
      <x:c r="D35" s="8" t="str">
        <x:v>P06</x:v>
      </x:c>
      <x:c r="E35" s="8" t="str">
        <x:v>Business reconciliation</x:v>
      </x:c>
      <x:c r="F35" s="15" t="str">
        <x:v>Not run</x:v>
      </x:c>
      <x:c r="G35" s="15"/>
      <x:c r="H35" s="15"/>
      <x:c r="I35" s="15"/>
      <x:c r="J35" s="16"/>
    </x:row>
    <x:row r="36" ht="31" customHeight="1">
      <x:c r="A36" s="2"/>
      <x:c r="B36" s="8" t="str">
        <x:v>O3-P07</x:v>
      </x:c>
      <x:c r="C36" s="8" t="str">
        <x:v>dbt Core v1 + Oracle</x:v>
      </x:c>
      <x:c r="D36" s="8" t="str">
        <x:v>P07</x:v>
      </x:c>
      <x:c r="E36" s="8" t="str">
        <x:v>Partial failure and replay</x:v>
      </x:c>
      <x:c r="F36" s="15" t="str">
        <x:v>Not run</x:v>
      </x:c>
      <x:c r="G36" s="15"/>
      <x:c r="H36" s="15"/>
      <x:c r="I36" s="15"/>
      <x:c r="J36" s="16"/>
    </x:row>
    <x:row r="37" ht="31" customHeight="1">
      <x:c r="A37" s="2"/>
      <x:c r="B37" s="8" t="str">
        <x:v>O3-P08</x:v>
      </x:c>
      <x:c r="C37" s="8" t="str">
        <x:v>dbt Core v1 + Oracle</x:v>
      </x:c>
      <x:c r="D37" s="8" t="str">
        <x:v>P08</x:v>
      </x:c>
      <x:c r="E37" s="8" t="str">
        <x:v>Disaster recovery</x:v>
      </x:c>
      <x:c r="F37" s="15" t="str">
        <x:v>Not run</x:v>
      </x:c>
      <x:c r="G37" s="15"/>
      <x:c r="H37" s="15"/>
      <x:c r="I37" s="15"/>
      <x:c r="J37" s="16"/>
    </x:row>
    <x:row r="38" ht="31" customHeight="1">
      <x:c r="A38" s="2"/>
      <x:c r="B38" s="8" t="str">
        <x:v>O3-P09</x:v>
      </x:c>
      <x:c r="C38" s="8" t="str">
        <x:v>dbt Core v1 + Oracle</x:v>
      </x:c>
      <x:c r="D38" s="8" t="str">
        <x:v>P09</x:v>
      </x:c>
      <x:c r="E38" s="8" t="str">
        <x:v>Controlled output delivery</x:v>
      </x:c>
      <x:c r="F38" s="15" t="str">
        <x:v>Not run</x:v>
      </x:c>
      <x:c r="G38" s="15"/>
      <x:c r="H38" s="15"/>
      <x:c r="I38" s="15"/>
      <x:c r="J38" s="16"/>
    </x:row>
    <x:row r="39" ht="31" customHeight="1">
      <x:c r="A39" s="2"/>
      <x:c r="B39" s="8" t="str">
        <x:v>O3-P10</x:v>
      </x:c>
      <x:c r="C39" s="8" t="str">
        <x:v>dbt Core v1 + Oracle</x:v>
      </x:c>
      <x:c r="D39" s="8" t="str">
        <x:v>P10</x:v>
      </x:c>
      <x:c r="E39" s="8" t="str">
        <x:v>Concurrent load and scale</x:v>
      </x:c>
      <x:c r="F39" s="15" t="str">
        <x:v>Not run</x:v>
      </x:c>
      <x:c r="G39" s="15"/>
      <x:c r="H39" s="15"/>
      <x:c r="I39" s="15"/>
      <x:c r="J39" s="16"/>
    </x:row>
    <x:row r="40" ht="31" customHeight="1">
      <x:c r="A40" s="2"/>
      <x:c r="B40" s="8" t="str">
        <x:v>O3-P11</x:v>
      </x:c>
      <x:c r="C40" s="8" t="str">
        <x:v>dbt Core v1 + Oracle</x:v>
      </x:c>
      <x:c r="D40" s="8" t="str">
        <x:v>P11</x:v>
      </x:c>
      <x:c r="E40" s="8" t="str">
        <x:v>Security and audit</x:v>
      </x:c>
      <x:c r="F40" s="15" t="str">
        <x:v>Not run</x:v>
      </x:c>
      <x:c r="G40" s="15"/>
      <x:c r="H40" s="15"/>
      <x:c r="I40" s="15"/>
      <x:c r="J40" s="16"/>
    </x:row>
    <x:row r="41" ht="31" customHeight="1">
      <x:c r="A41" s="2"/>
      <x:c r="B41" s="8" t="str">
        <x:v>O3-P12</x:v>
      </x:c>
      <x:c r="C41" s="8" t="str">
        <x:v>dbt Core v1 + Oracle</x:v>
      </x:c>
      <x:c r="D41" s="8" t="str">
        <x:v>P12</x:v>
      </x:c>
      <x:c r="E41" s="8" t="str">
        <x:v>Release, support and handover</x:v>
      </x:c>
      <x:c r="F41" s="15" t="str">
        <x:v>Not run</x:v>
      </x:c>
      <x:c r="G41" s="15"/>
      <x:c r="H41" s="15"/>
      <x:c r="I41" s="15"/>
      <x:c r="J41" s="16"/>
    </x:row>
    <x:row r="42" ht="31" customHeight="1">
      <x:c r="A42" s="2"/>
      <x:c r="B42" s="8" t="str">
        <x:v>O4-P01</x:v>
      </x:c>
      <x:c r="C42" s="8" t="str">
        <x:v>Cloudera on premises</x:v>
      </x:c>
      <x:c r="D42" s="8" t="str">
        <x:v>P01</x:v>
      </x:c>
      <x:c r="E42" s="8" t="str">
        <x:v>Disconnected deployment</x:v>
      </x:c>
      <x:c r="F42" s="15" t="str">
        <x:v>Not run</x:v>
      </x:c>
      <x:c r="G42" s="15"/>
      <x:c r="H42" s="15"/>
      <x:c r="I42" s="15"/>
      <x:c r="J42" s="16"/>
    </x:row>
    <x:row r="43" ht="31" customHeight="1">
      <x:c r="A43" s="2"/>
      <x:c r="B43" s="8" t="str">
        <x:v>O4-P02</x:v>
      </x:c>
      <x:c r="C43" s="8" t="str">
        <x:v>Cloudera on premises</x:v>
      </x:c>
      <x:c r="D43" s="8" t="str">
        <x:v>P02</x:v>
      </x:c>
      <x:c r="E43" s="8" t="str">
        <x:v>Oracle batch and consistency</x:v>
      </x:c>
      <x:c r="F43" s="15" t="str">
        <x:v>Not run</x:v>
      </x:c>
      <x:c r="G43" s="15"/>
      <x:c r="H43" s="15"/>
      <x:c r="I43" s="15"/>
      <x:c r="J43" s="16"/>
    </x:row>
    <x:row r="44" ht="31" customHeight="1">
      <x:c r="A44" s="2"/>
      <x:c r="B44" s="8" t="str">
        <x:v>O4-P03</x:v>
      </x:c>
      <x:c r="C44" s="8" t="str">
        <x:v>Cloudera on premises</x:v>
      </x:c>
      <x:c r="D44" s="8" t="str">
        <x:v>P03</x:v>
      </x:c>
      <x:c r="E44" s="8" t="str">
        <x:v>Files and API intake</x:v>
      </x:c>
      <x:c r="F44" s="15" t="str">
        <x:v>Not run</x:v>
      </x:c>
      <x:c r="G44" s="15"/>
      <x:c r="H44" s="15"/>
      <x:c r="I44" s="15"/>
      <x:c r="J44" s="16"/>
    </x:row>
    <x:row r="45" ht="31" customHeight="1">
      <x:c r="A45" s="2"/>
      <x:c r="B45" s="8" t="str">
        <x:v>O4-P04</x:v>
      </x:c>
      <x:c r="C45" s="8" t="str">
        <x:v>Cloudera on premises</x:v>
      </x:c>
      <x:c r="D45" s="8" t="str">
        <x:v>P04</x:v>
      </x:c>
      <x:c r="E45" s="8" t="str">
        <x:v>Incremental change capture</x:v>
      </x:c>
      <x:c r="F45" s="15" t="str">
        <x:v>Not run</x:v>
      </x:c>
      <x:c r="G45" s="15"/>
      <x:c r="H45" s="15"/>
      <x:c r="I45" s="15"/>
      <x:c r="J45" s="16"/>
    </x:row>
    <x:row r="46" ht="31" customHeight="1">
      <x:c r="A46" s="2"/>
      <x:c r="B46" s="8" t="str">
        <x:v>O4-P05</x:v>
      </x:c>
      <x:c r="C46" s="8" t="str">
        <x:v>Cloudera on premises</x:v>
      </x:c>
      <x:c r="D46" s="8" t="str">
        <x:v>P05</x:v>
      </x:c>
      <x:c r="E46" s="8" t="str">
        <x:v>Historical correction</x:v>
      </x:c>
      <x:c r="F46" s="15" t="str">
        <x:v>Not run</x:v>
      </x:c>
      <x:c r="G46" s="15"/>
      <x:c r="H46" s="15"/>
      <x:c r="I46" s="15"/>
      <x:c r="J46" s="16"/>
    </x:row>
    <x:row r="47" ht="31" customHeight="1">
      <x:c r="A47" s="2"/>
      <x:c r="B47" s="8" t="str">
        <x:v>O4-P06</x:v>
      </x:c>
      <x:c r="C47" s="8" t="str">
        <x:v>Cloudera on premises</x:v>
      </x:c>
      <x:c r="D47" s="8" t="str">
        <x:v>P06</x:v>
      </x:c>
      <x:c r="E47" s="8" t="str">
        <x:v>Business reconciliation</x:v>
      </x:c>
      <x:c r="F47" s="15" t="str">
        <x:v>Not run</x:v>
      </x:c>
      <x:c r="G47" s="15"/>
      <x:c r="H47" s="15"/>
      <x:c r="I47" s="15"/>
      <x:c r="J47" s="16"/>
    </x:row>
    <x:row r="48" ht="31" customHeight="1">
      <x:c r="A48" s="2"/>
      <x:c r="B48" s="8" t="str">
        <x:v>O4-P07</x:v>
      </x:c>
      <x:c r="C48" s="8" t="str">
        <x:v>Cloudera on premises</x:v>
      </x:c>
      <x:c r="D48" s="8" t="str">
        <x:v>P07</x:v>
      </x:c>
      <x:c r="E48" s="8" t="str">
        <x:v>Partial failure and replay</x:v>
      </x:c>
      <x:c r="F48" s="15" t="str">
        <x:v>Not run</x:v>
      </x:c>
      <x:c r="G48" s="15"/>
      <x:c r="H48" s="15"/>
      <x:c r="I48" s="15"/>
      <x:c r="J48" s="16"/>
    </x:row>
    <x:row r="49" ht="31" customHeight="1">
      <x:c r="A49" s="2"/>
      <x:c r="B49" s="8" t="str">
        <x:v>O4-P08</x:v>
      </x:c>
      <x:c r="C49" s="8" t="str">
        <x:v>Cloudera on premises</x:v>
      </x:c>
      <x:c r="D49" s="8" t="str">
        <x:v>P08</x:v>
      </x:c>
      <x:c r="E49" s="8" t="str">
        <x:v>Disaster recovery</x:v>
      </x:c>
      <x:c r="F49" s="15" t="str">
        <x:v>Not run</x:v>
      </x:c>
      <x:c r="G49" s="15"/>
      <x:c r="H49" s="15"/>
      <x:c r="I49" s="15"/>
      <x:c r="J49" s="16"/>
    </x:row>
    <x:row r="50" ht="31" customHeight="1">
      <x:c r="A50" s="2"/>
      <x:c r="B50" s="8" t="str">
        <x:v>O4-P09</x:v>
      </x:c>
      <x:c r="C50" s="8" t="str">
        <x:v>Cloudera on premises</x:v>
      </x:c>
      <x:c r="D50" s="8" t="str">
        <x:v>P09</x:v>
      </x:c>
      <x:c r="E50" s="8" t="str">
        <x:v>Controlled output delivery</x:v>
      </x:c>
      <x:c r="F50" s="15" t="str">
        <x:v>Not run</x:v>
      </x:c>
      <x:c r="G50" s="15"/>
      <x:c r="H50" s="15"/>
      <x:c r="I50" s="15"/>
      <x:c r="J50" s="16"/>
    </x:row>
    <x:row r="51" ht="31" customHeight="1">
      <x:c r="A51" s="2"/>
      <x:c r="B51" s="8" t="str">
        <x:v>O4-P10</x:v>
      </x:c>
      <x:c r="C51" s="8" t="str">
        <x:v>Cloudera on premises</x:v>
      </x:c>
      <x:c r="D51" s="8" t="str">
        <x:v>P10</x:v>
      </x:c>
      <x:c r="E51" s="8" t="str">
        <x:v>Concurrent load and scale</x:v>
      </x:c>
      <x:c r="F51" s="15" t="str">
        <x:v>Not run</x:v>
      </x:c>
      <x:c r="G51" s="15"/>
      <x:c r="H51" s="15"/>
      <x:c r="I51" s="15"/>
      <x:c r="J51" s="16"/>
    </x:row>
    <x:row r="52" ht="31" customHeight="1">
      <x:c r="A52" s="2"/>
      <x:c r="B52" s="8" t="str">
        <x:v>O4-P11</x:v>
      </x:c>
      <x:c r="C52" s="8" t="str">
        <x:v>Cloudera on premises</x:v>
      </x:c>
      <x:c r="D52" s="8" t="str">
        <x:v>P11</x:v>
      </x:c>
      <x:c r="E52" s="8" t="str">
        <x:v>Security and audit</x:v>
      </x:c>
      <x:c r="F52" s="15" t="str">
        <x:v>Not run</x:v>
      </x:c>
      <x:c r="G52" s="15"/>
      <x:c r="H52" s="15"/>
      <x:c r="I52" s="15"/>
      <x:c r="J52" s="16"/>
    </x:row>
    <x:row r="53" ht="31" customHeight="1">
      <x:c r="A53" s="2"/>
      <x:c r="B53" s="8" t="str">
        <x:v>O4-P12</x:v>
      </x:c>
      <x:c r="C53" s="8" t="str">
        <x:v>Cloudera on premises</x:v>
      </x:c>
      <x:c r="D53" s="8" t="str">
        <x:v>P12</x:v>
      </x:c>
      <x:c r="E53" s="8" t="str">
        <x:v>Release, support and handover</x:v>
      </x:c>
      <x:c r="F53" s="15" t="str">
        <x:v>Not run</x:v>
      </x:c>
      <x:c r="G53" s="15"/>
      <x:c r="H53" s="15"/>
      <x:c r="I53" s="15"/>
      <x:c r="J53" s="16"/>
    </x:row>
    <x:row r="54" ht="31" customHeight="1">
      <x:c r="A54" s="2"/>
      <x:c r="B54" s="8" t="str">
        <x:v>O5-P01</x:v>
      </x:c>
      <x:c r="C54" s="8" t="str">
        <x:v>Apache Spark on premises</x:v>
      </x:c>
      <x:c r="D54" s="8" t="str">
        <x:v>P01</x:v>
      </x:c>
      <x:c r="E54" s="8" t="str">
        <x:v>Disconnected deployment</x:v>
      </x:c>
      <x:c r="F54" s="15" t="str">
        <x:v>Not run</x:v>
      </x:c>
      <x:c r="G54" s="15"/>
      <x:c r="H54" s="15"/>
      <x:c r="I54" s="15"/>
      <x:c r="J54" s="16"/>
    </x:row>
    <x:row r="55" ht="31" customHeight="1">
      <x:c r="A55" s="2"/>
      <x:c r="B55" s="8" t="str">
        <x:v>O5-P02</x:v>
      </x:c>
      <x:c r="C55" s="8" t="str">
        <x:v>Apache Spark on premises</x:v>
      </x:c>
      <x:c r="D55" s="8" t="str">
        <x:v>P02</x:v>
      </x:c>
      <x:c r="E55" s="8" t="str">
        <x:v>Oracle batch and consistency</x:v>
      </x:c>
      <x:c r="F55" s="15" t="str">
        <x:v>Not run</x:v>
      </x:c>
      <x:c r="G55" s="15"/>
      <x:c r="H55" s="15"/>
      <x:c r="I55" s="15"/>
      <x:c r="J55" s="16"/>
    </x:row>
    <x:row r="56" ht="31" customHeight="1">
      <x:c r="A56" s="2"/>
      <x:c r="B56" s="8" t="str">
        <x:v>O5-P03</x:v>
      </x:c>
      <x:c r="C56" s="8" t="str">
        <x:v>Apache Spark on premises</x:v>
      </x:c>
      <x:c r="D56" s="8" t="str">
        <x:v>P03</x:v>
      </x:c>
      <x:c r="E56" s="8" t="str">
        <x:v>Files and API intake</x:v>
      </x:c>
      <x:c r="F56" s="15" t="str">
        <x:v>Not run</x:v>
      </x:c>
      <x:c r="G56" s="15"/>
      <x:c r="H56" s="15"/>
      <x:c r="I56" s="15"/>
      <x:c r="J56" s="16"/>
    </x:row>
    <x:row r="57" ht="31" customHeight="1">
      <x:c r="A57" s="2"/>
      <x:c r="B57" s="8" t="str">
        <x:v>O5-P04</x:v>
      </x:c>
      <x:c r="C57" s="8" t="str">
        <x:v>Apache Spark on premises</x:v>
      </x:c>
      <x:c r="D57" s="8" t="str">
        <x:v>P04</x:v>
      </x:c>
      <x:c r="E57" s="8" t="str">
        <x:v>Incremental change capture</x:v>
      </x:c>
      <x:c r="F57" s="15" t="str">
        <x:v>Not run</x:v>
      </x:c>
      <x:c r="G57" s="15"/>
      <x:c r="H57" s="15"/>
      <x:c r="I57" s="15"/>
      <x:c r="J57" s="16"/>
    </x:row>
    <x:row r="58" ht="31" customHeight="1">
      <x:c r="A58" s="2"/>
      <x:c r="B58" s="8" t="str">
        <x:v>O5-P05</x:v>
      </x:c>
      <x:c r="C58" s="8" t="str">
        <x:v>Apache Spark on premises</x:v>
      </x:c>
      <x:c r="D58" s="8" t="str">
        <x:v>P05</x:v>
      </x:c>
      <x:c r="E58" s="8" t="str">
        <x:v>Historical correction</x:v>
      </x:c>
      <x:c r="F58" s="15" t="str">
        <x:v>Not run</x:v>
      </x:c>
      <x:c r="G58" s="15"/>
      <x:c r="H58" s="15"/>
      <x:c r="I58" s="15"/>
      <x:c r="J58" s="16"/>
    </x:row>
    <x:row r="59" ht="31" customHeight="1">
      <x:c r="A59" s="2"/>
      <x:c r="B59" s="8" t="str">
        <x:v>O5-P06</x:v>
      </x:c>
      <x:c r="C59" s="8" t="str">
        <x:v>Apache Spark on premises</x:v>
      </x:c>
      <x:c r="D59" s="8" t="str">
        <x:v>P06</x:v>
      </x:c>
      <x:c r="E59" s="8" t="str">
        <x:v>Business reconciliation</x:v>
      </x:c>
      <x:c r="F59" s="15" t="str">
        <x:v>Not run</x:v>
      </x:c>
      <x:c r="G59" s="15"/>
      <x:c r="H59" s="15"/>
      <x:c r="I59" s="15"/>
      <x:c r="J59" s="16"/>
    </x:row>
    <x:row r="60" ht="31" customHeight="1">
      <x:c r="A60" s="2"/>
      <x:c r="B60" s="8" t="str">
        <x:v>O5-P07</x:v>
      </x:c>
      <x:c r="C60" s="8" t="str">
        <x:v>Apache Spark on premises</x:v>
      </x:c>
      <x:c r="D60" s="8" t="str">
        <x:v>P07</x:v>
      </x:c>
      <x:c r="E60" s="8" t="str">
        <x:v>Partial failure and replay</x:v>
      </x:c>
      <x:c r="F60" s="15" t="str">
        <x:v>Not run</x:v>
      </x:c>
      <x:c r="G60" s="15"/>
      <x:c r="H60" s="15"/>
      <x:c r="I60" s="15"/>
      <x:c r="J60" s="16"/>
    </x:row>
    <x:row r="61" ht="31" customHeight="1">
      <x:c r="A61" s="2"/>
      <x:c r="B61" s="8" t="str">
        <x:v>O5-P08</x:v>
      </x:c>
      <x:c r="C61" s="8" t="str">
        <x:v>Apache Spark on premises</x:v>
      </x:c>
      <x:c r="D61" s="8" t="str">
        <x:v>P08</x:v>
      </x:c>
      <x:c r="E61" s="8" t="str">
        <x:v>Disaster recovery</x:v>
      </x:c>
      <x:c r="F61" s="15" t="str">
        <x:v>Not run</x:v>
      </x:c>
      <x:c r="G61" s="15"/>
      <x:c r="H61" s="15"/>
      <x:c r="I61" s="15"/>
      <x:c r="J61" s="16"/>
    </x:row>
    <x:row r="62" ht="31" customHeight="1">
      <x:c r="A62" s="2"/>
      <x:c r="B62" s="8" t="str">
        <x:v>O5-P09</x:v>
      </x:c>
      <x:c r="C62" s="8" t="str">
        <x:v>Apache Spark on premises</x:v>
      </x:c>
      <x:c r="D62" s="8" t="str">
        <x:v>P09</x:v>
      </x:c>
      <x:c r="E62" s="8" t="str">
        <x:v>Controlled output delivery</x:v>
      </x:c>
      <x:c r="F62" s="15" t="str">
        <x:v>Not run</x:v>
      </x:c>
      <x:c r="G62" s="15"/>
      <x:c r="H62" s="15"/>
      <x:c r="I62" s="15"/>
      <x:c r="J62" s="16"/>
    </x:row>
    <x:row r="63" ht="31" customHeight="1">
      <x:c r="A63" s="2"/>
      <x:c r="B63" s="8" t="str">
        <x:v>O5-P10</x:v>
      </x:c>
      <x:c r="C63" s="8" t="str">
        <x:v>Apache Spark on premises</x:v>
      </x:c>
      <x:c r="D63" s="8" t="str">
        <x:v>P10</x:v>
      </x:c>
      <x:c r="E63" s="8" t="str">
        <x:v>Concurrent load and scale</x:v>
      </x:c>
      <x:c r="F63" s="15" t="str">
        <x:v>Not run</x:v>
      </x:c>
      <x:c r="G63" s="15"/>
      <x:c r="H63" s="15"/>
      <x:c r="I63" s="15"/>
      <x:c r="J63" s="16"/>
    </x:row>
    <x:row r="64" ht="31" customHeight="1">
      <x:c r="A64" s="2"/>
      <x:c r="B64" s="8" t="str">
        <x:v>O5-P11</x:v>
      </x:c>
      <x:c r="C64" s="8" t="str">
        <x:v>Apache Spark on premises</x:v>
      </x:c>
      <x:c r="D64" s="8" t="str">
        <x:v>P11</x:v>
      </x:c>
      <x:c r="E64" s="8" t="str">
        <x:v>Security and audit</x:v>
      </x:c>
      <x:c r="F64" s="15" t="str">
        <x:v>Not run</x:v>
      </x:c>
      <x:c r="G64" s="15"/>
      <x:c r="H64" s="15"/>
      <x:c r="I64" s="15"/>
      <x:c r="J64" s="16"/>
    </x:row>
    <x:row r="65" ht="31" customHeight="1">
      <x:c r="A65" s="2"/>
      <x:c r="B65" s="8" t="str">
        <x:v>O5-P12</x:v>
      </x:c>
      <x:c r="C65" s="8" t="str">
        <x:v>Apache Spark on premises</x:v>
      </x:c>
      <x:c r="D65" s="8" t="str">
        <x:v>P12</x:v>
      </x:c>
      <x:c r="E65" s="8" t="str">
        <x:v>Release, support and handover</x:v>
      </x:c>
      <x:c r="F65" s="15" t="str">
        <x:v>Not run</x:v>
      </x:c>
      <x:c r="G65" s="15"/>
      <x:c r="H65" s="15"/>
      <x:c r="I65" s="15"/>
      <x:c r="J65" s="16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conditionalFormatting sqref="F6:F65">
    <x:cfRule type="cellIs" dxfId="3" priority="1" operator="equal">
      <x:formula>"Fail"</x:formula>
    </x:cfRule>
  </x:conditionalFormatting>
  <x:dataValidations count="1">
    <x:dataValidation type="list" sqref="F6:F65">
      <x:formula1>"Not run,Pass,Fail,Blocked"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3" hidden="0" customWidth="1"/>
    <x:col min="2" max="2" width="28" hidden="0" customWidth="1"/>
    <x:col min="3" max="3" width="30" hidden="0" customWidth="1"/>
    <x:col min="4" max="4" width="37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  <x:col min="13" max="13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2"/>
      <x:c r="B2" s="3" t="str">
        <x:v>Five-year cost model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 t="str">
        <x:v>Currency</x:v>
      </x:c>
      <x:c r="C3" s="10" t="str">
        <x:v>UNASSIGNED</x:v>
      </x:c>
      <x:c r="D3" s="2" t="str">
        <x:v>Single currency, nominal undiscounted. Year 0 setup plus years 1–5. Enter 0 only if verified.</x:v>
      </x:c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2"/>
      <x:c r="B5" s="7" t="str">
        <x:v>Candidate</x:v>
      </x:c>
      <x:c r="C5" s="7" t="str">
        <x:v>5-year total</x:v>
      </x:c>
      <x:c r="D5" s="7" t="str">
        <x:v>Complete cost lines / 10</x:v>
      </x:c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 t="str">
        <x:v>Informatica PowerCenter</x:v>
      </x:c>
      <x:c r="C6" s="18" t="str">
        <x:f>IF(AND(D6=10,$C$3&lt;&gt;"UNASSIGNED",$C$3&lt;&gt;""),SUM(K14:K23),"")</x:f>
      </x:c>
      <x:c r="D6" s="2" t="n">
        <x:f>COUNT(K14:K23)</x:f>
        <x:v>0</x:v>
      </x:c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 t="str">
        <x:v>Oracle ODI</x:v>
      </x:c>
      <x:c r="C7" s="18" t="str">
        <x:f>IF(AND(D7=10,$C$3&lt;&gt;"UNASSIGNED",$C$3&lt;&gt;""),SUM(K24:K33),"")</x:f>
      </x:c>
      <x:c r="D7" s="2" t="n">
        <x:f>COUNT(K24:K33)</x:f>
        <x:v>0</x:v>
      </x:c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/>
      <x:c r="B8" s="2" t="str">
        <x:v>dbt Core v1 + Oracle</x:v>
      </x:c>
      <x:c r="C8" s="18" t="str">
        <x:f>IF(AND(D8=10,$C$3&lt;&gt;"UNASSIGNED",$C$3&lt;&gt;""),SUM(K34:K43),"")</x:f>
      </x:c>
      <x:c r="D8" s="2" t="n">
        <x:f>COUNT(K34:K43)</x:f>
        <x:v>0</x:v>
      </x:c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/>
      <x:c r="B9" s="2" t="str">
        <x:v>Cloudera on premises</x:v>
      </x:c>
      <x:c r="C9" s="18" t="str">
        <x:f>IF(AND(D9=10,$C$3&lt;&gt;"UNASSIGNED",$C$3&lt;&gt;""),SUM(K44:K53),"")</x:f>
      </x:c>
      <x:c r="D9" s="2" t="n">
        <x:f>COUNT(K44:K53)</x:f>
        <x:v>0</x:v>
      </x:c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/>
      <x:c r="B10" s="2" t="str">
        <x:v>Apache Spark on premises</x:v>
      </x:c>
      <x:c r="C10" s="18" t="str">
        <x:f>IF(AND(D10=10,$C$3&lt;&gt;"UNASSIGNED",$C$3&lt;&gt;""),SUM(K54:K63),"")</x:f>
      </x:c>
      <x:c r="D10" s="2" t="n">
        <x:f>COUNT(K54:K63)</x:f>
        <x:v>0</x:v>
      </x:c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"/>
      <x:c r="B11" s="2" t="str">
        <x:v>No prices or staffing costs assumed. Include production, non-production and DR in each quoted line.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32" customHeight="1">
      <x:c r="A13" s="2"/>
      <x:c r="B13" s="7" t="str">
        <x:v>Cost ID</x:v>
      </x:c>
      <x:c r="C13" s="7" t="str">
        <x:v>Candidate</x:v>
      </x:c>
      <x:c r="D13" s="7" t="str">
        <x:v>Cost category</x:v>
      </x:c>
      <x:c r="E13" s="7" t="str">
        <x:v>Year 0</x:v>
      </x:c>
      <x:c r="F13" s="7" t="str">
        <x:v>Year 1</x:v>
      </x:c>
      <x:c r="G13" s="7" t="str">
        <x:v>Year 2</x:v>
      </x:c>
      <x:c r="H13" s="7" t="str">
        <x:v>Year 3</x:v>
      </x:c>
      <x:c r="I13" s="7" t="str">
        <x:v>Year 4</x:v>
      </x:c>
      <x:c r="J13" s="7" t="str">
        <x:v>Year 5</x:v>
      </x:c>
      <x:c r="K13" s="7" t="str">
        <x:v>Total</x:v>
      </x:c>
      <x:c r="L13" s="7" t="str">
        <x:v>Quote / estimate reference</x:v>
      </x:c>
      <x:c r="M13" s="7" t="str">
        <x:v>Basis / exclusions</x:v>
      </x:c>
    </x:row>
    <x:row r="14" ht="34" customHeight="1">
      <x:c r="A14" s="2"/>
      <x:c r="B14" s="8" t="str">
        <x:v>O1-T1</x:v>
      </x:c>
      <x:c r="C14" s="8" t="str">
        <x:v>Informatica PowerCenter</x:v>
      </x:c>
      <x:c r="D14" s="8" t="str">
        <x:v>Product subscriptions/licenses</x:v>
      </x:c>
      <x:c r="E14" s="19"/>
      <x:c r="F14" s="19"/>
      <x:c r="G14" s="19"/>
      <x:c r="H14" s="19"/>
      <x:c r="I14" s="19"/>
      <x:c r="J14" s="19"/>
      <x:c r="K14" s="20" t="str">
        <x:f>IF(AND(COUNT(E14:J14)=6,MIN(E14:J14)&gt;=0,L14&lt;&gt;""),SUM(E14:J14),"")</x:f>
      </x:c>
      <x:c r="L14" s="15"/>
      <x:c r="M14" s="15"/>
    </x:row>
    <x:row r="15" ht="34" customHeight="1">
      <x:c r="A15" s="2"/>
      <x:c r="B15" s="8" t="str">
        <x:v>O1-T2</x:v>
      </x:c>
      <x:c r="C15" s="8" t="str">
        <x:v>Informatica PowerCenter</x:v>
      </x:c>
      <x:c r="D15" s="8" t="str">
        <x:v>Connectors and CDC</x:v>
      </x:c>
      <x:c r="E15" s="19"/>
      <x:c r="F15" s="19"/>
      <x:c r="G15" s="19"/>
      <x:c r="H15" s="19"/>
      <x:c r="I15" s="19"/>
      <x:c r="J15" s="19"/>
      <x:c r="K15" s="20" t="str">
        <x:f>IF(AND(COUNT(E15:J15)=6,MIN(E15:J15)&gt;=0,L15&lt;&gt;""),SUM(E15:J15),"")</x:f>
      </x:c>
      <x:c r="L15" s="15"/>
      <x:c r="M15" s="15"/>
    </x:row>
    <x:row r="16" ht="34" customHeight="1">
      <x:c r="A16" s="2"/>
      <x:c r="B16" s="8" t="str">
        <x:v>O1-T3</x:v>
      </x:c>
      <x:c r="C16" s="8" t="str">
        <x:v>Informatica PowerCenter</x:v>
      </x:c>
      <x:c r="D16" s="8" t="str">
        <x:v>Compute and Exadata increment</x:v>
      </x:c>
      <x:c r="E16" s="19"/>
      <x:c r="F16" s="19"/>
      <x:c r="G16" s="19"/>
      <x:c r="H16" s="19"/>
      <x:c r="I16" s="19"/>
      <x:c r="J16" s="19"/>
      <x:c r="K16" s="20" t="str">
        <x:f>IF(AND(COUNT(E16:J16)=6,MIN(E16:J16)&gt;=0,L16&lt;&gt;""),SUM(E16:J16),"")</x:f>
      </x:c>
      <x:c r="L16" s="15"/>
      <x:c r="M16" s="15"/>
    </x:row>
    <x:row r="17" ht="34" customHeight="1">
      <x:c r="A17" s="2"/>
      <x:c r="B17" s="8" t="str">
        <x:v>O1-T4</x:v>
      </x:c>
      <x:c r="C17" s="8" t="str">
        <x:v>Informatica PowerCenter</x:v>
      </x:c>
      <x:c r="D17" s="8" t="str">
        <x:v>Storage, backup and DR</x:v>
      </x:c>
      <x:c r="E17" s="19"/>
      <x:c r="F17" s="19"/>
      <x:c r="G17" s="19"/>
      <x:c r="H17" s="19"/>
      <x:c r="I17" s="19"/>
      <x:c r="J17" s="19"/>
      <x:c r="K17" s="20" t="str">
        <x:f>IF(AND(COUNT(E17:J17)=6,MIN(E17:J17)&gt;=0,L17&lt;&gt;""),SUM(E17:J17),"")</x:f>
      </x:c>
      <x:c r="L17" s="15"/>
      <x:c r="M17" s="15"/>
    </x:row>
    <x:row r="18" ht="34" customHeight="1">
      <x:c r="A18" s="2"/>
      <x:c r="B18" s="8" t="str">
        <x:v>O1-T5</x:v>
      </x:c>
      <x:c r="C18" s="8" t="str">
        <x:v>Informatica PowerCenter</x:v>
      </x:c>
      <x:c r="D18" s="8" t="str">
        <x:v>Network and facilities allocation</x:v>
      </x:c>
      <x:c r="E18" s="19"/>
      <x:c r="F18" s="19"/>
      <x:c r="G18" s="19"/>
      <x:c r="H18" s="19"/>
      <x:c r="I18" s="19"/>
      <x:c r="J18" s="19"/>
      <x:c r="K18" s="20" t="str">
        <x:f>IF(AND(COUNT(E18:J18)=6,MIN(E18:J18)&gt;=0,L18&lt;&gt;""),SUM(E18:J18),"")</x:f>
      </x:c>
      <x:c r="L18" s="15"/>
      <x:c r="M18" s="15"/>
    </x:row>
    <x:row r="19" ht="34" customHeight="1">
      <x:c r="A19" s="2"/>
      <x:c r="B19" s="8" t="str">
        <x:v>O1-T6</x:v>
      </x:c>
      <x:c r="C19" s="8" t="str">
        <x:v>Informatica PowerCenter</x:v>
      </x:c>
      <x:c r="D19" s="8" t="str">
        <x:v>Implementation and migration</x:v>
      </x:c>
      <x:c r="E19" s="19"/>
      <x:c r="F19" s="19"/>
      <x:c r="G19" s="19"/>
      <x:c r="H19" s="19"/>
      <x:c r="I19" s="19"/>
      <x:c r="J19" s="19"/>
      <x:c r="K19" s="20" t="str">
        <x:f>IF(AND(COUNT(E19:J19)=6,MIN(E19:J19)&gt;=0,L19&lt;&gt;""),SUM(E19:J19),"")</x:f>
      </x:c>
      <x:c r="L19" s="15"/>
      <x:c r="M19" s="15"/>
    </x:row>
    <x:row r="20" ht="34" customHeight="1">
      <x:c r="A20" s="2"/>
      <x:c r="B20" s="8" t="str">
        <x:v>O1-T7</x:v>
      </x:c>
      <x:c r="C20" s="8" t="str">
        <x:v>Informatica PowerCenter</x:v>
      </x:c>
      <x:c r="D20" s="8" t="str">
        <x:v>Operating staff and support</x:v>
      </x:c>
      <x:c r="E20" s="19"/>
      <x:c r="F20" s="19"/>
      <x:c r="G20" s="19"/>
      <x:c r="H20" s="19"/>
      <x:c r="I20" s="19"/>
      <x:c r="J20" s="19"/>
      <x:c r="K20" s="20" t="str">
        <x:f>IF(AND(COUNT(E20:J20)=6,MIN(E20:J20)&gt;=0,L20&lt;&gt;""),SUM(E20:J20),"")</x:f>
      </x:c>
      <x:c r="L20" s="15"/>
      <x:c r="M20" s="15"/>
    </x:row>
    <x:row r="21" ht="34" customHeight="1">
      <x:c r="A21" s="2"/>
      <x:c r="B21" s="8" t="str">
        <x:v>O1-T8</x:v>
      </x:c>
      <x:c r="C21" s="8" t="str">
        <x:v>Informatica PowerCenter</x:v>
      </x:c>
      <x:c r="D21" s="8" t="str">
        <x:v>Security, governance and observability</x:v>
      </x:c>
      <x:c r="E21" s="19"/>
      <x:c r="F21" s="19"/>
      <x:c r="G21" s="19"/>
      <x:c r="H21" s="19"/>
      <x:c r="I21" s="19"/>
      <x:c r="J21" s="19"/>
      <x:c r="K21" s="20" t="str">
        <x:f>IF(AND(COUNT(E21:J21)=6,MIN(E21:J21)&gt;=0,L21&lt;&gt;""),SUM(E21:J21),"")</x:f>
      </x:c>
      <x:c r="L21" s="15"/>
      <x:c r="M21" s="15"/>
    </x:row>
    <x:row r="22" ht="34" customHeight="1">
      <x:c r="A22" s="2"/>
      <x:c r="B22" s="8" t="str">
        <x:v>O1-T9</x:v>
      </x:c>
      <x:c r="C22" s="8" t="str">
        <x:v>Informatica PowerCenter</x:v>
      </x:c>
      <x:c r="D22" s="8" t="str">
        <x:v>Training and upgrade testing</x:v>
      </x:c>
      <x:c r="E22" s="19"/>
      <x:c r="F22" s="19"/>
      <x:c r="G22" s="19"/>
      <x:c r="H22" s="19"/>
      <x:c r="I22" s="19"/>
      <x:c r="J22" s="19"/>
      <x:c r="K22" s="20" t="str">
        <x:f>IF(AND(COUNT(E22:J22)=6,MIN(E22:J22)&gt;=0,L22&lt;&gt;""),SUM(E22:J22),"")</x:f>
      </x:c>
      <x:c r="L22" s="15"/>
      <x:c r="M22" s="15"/>
    </x:row>
    <x:row r="23" ht="34" customHeight="1">
      <x:c r="A23" s="2"/>
      <x:c r="B23" s="8" t="str">
        <x:v>O1-T10</x:v>
      </x:c>
      <x:c r="C23" s="8" t="str">
        <x:v>Informatica PowerCenter</x:v>
      </x:c>
      <x:c r="D23" s="8" t="str">
        <x:v>Exit and decommissioning</x:v>
      </x:c>
      <x:c r="E23" s="19"/>
      <x:c r="F23" s="19"/>
      <x:c r="G23" s="19"/>
      <x:c r="H23" s="19"/>
      <x:c r="I23" s="19"/>
      <x:c r="J23" s="19"/>
      <x:c r="K23" s="20" t="str">
        <x:f>IF(AND(COUNT(E23:J23)=6,MIN(E23:J23)&gt;=0,L23&lt;&gt;""),SUM(E23:J23),"")</x:f>
      </x:c>
      <x:c r="L23" s="15"/>
      <x:c r="M23" s="15"/>
    </x:row>
    <x:row r="24" ht="34" customHeight="1">
      <x:c r="A24" s="2"/>
      <x:c r="B24" s="8" t="str">
        <x:v>O2-T1</x:v>
      </x:c>
      <x:c r="C24" s="8" t="str">
        <x:v>Oracle ODI</x:v>
      </x:c>
      <x:c r="D24" s="8" t="str">
        <x:v>Product subscriptions/licenses</x:v>
      </x:c>
      <x:c r="E24" s="19"/>
      <x:c r="F24" s="19"/>
      <x:c r="G24" s="19"/>
      <x:c r="H24" s="19"/>
      <x:c r="I24" s="19"/>
      <x:c r="J24" s="19"/>
      <x:c r="K24" s="20" t="str">
        <x:f>IF(AND(COUNT(E24:J24)=6,MIN(E24:J24)&gt;=0,L24&lt;&gt;""),SUM(E24:J24),"")</x:f>
      </x:c>
      <x:c r="L24" s="15"/>
      <x:c r="M24" s="15"/>
    </x:row>
    <x:row r="25" ht="34" customHeight="1">
      <x:c r="A25" s="2"/>
      <x:c r="B25" s="8" t="str">
        <x:v>O2-T2</x:v>
      </x:c>
      <x:c r="C25" s="8" t="str">
        <x:v>Oracle ODI</x:v>
      </x:c>
      <x:c r="D25" s="8" t="str">
        <x:v>Connectors and CDC</x:v>
      </x:c>
      <x:c r="E25" s="19"/>
      <x:c r="F25" s="19"/>
      <x:c r="G25" s="19"/>
      <x:c r="H25" s="19"/>
      <x:c r="I25" s="19"/>
      <x:c r="J25" s="19"/>
      <x:c r="K25" s="20" t="str">
        <x:f>IF(AND(COUNT(E25:J25)=6,MIN(E25:J25)&gt;=0,L25&lt;&gt;""),SUM(E25:J25),"")</x:f>
      </x:c>
      <x:c r="L25" s="15"/>
      <x:c r="M25" s="15"/>
    </x:row>
    <x:row r="26" ht="34" customHeight="1">
      <x:c r="A26" s="2"/>
      <x:c r="B26" s="8" t="str">
        <x:v>O2-T3</x:v>
      </x:c>
      <x:c r="C26" s="8" t="str">
        <x:v>Oracle ODI</x:v>
      </x:c>
      <x:c r="D26" s="8" t="str">
        <x:v>Compute and Exadata increment</x:v>
      </x:c>
      <x:c r="E26" s="19"/>
      <x:c r="F26" s="19"/>
      <x:c r="G26" s="19"/>
      <x:c r="H26" s="19"/>
      <x:c r="I26" s="19"/>
      <x:c r="J26" s="19"/>
      <x:c r="K26" s="20" t="str">
        <x:f>IF(AND(COUNT(E26:J26)=6,MIN(E26:J26)&gt;=0,L26&lt;&gt;""),SUM(E26:J26),"")</x:f>
      </x:c>
      <x:c r="L26" s="15"/>
      <x:c r="M26" s="15"/>
    </x:row>
    <x:row r="27" ht="34" customHeight="1">
      <x:c r="A27" s="2"/>
      <x:c r="B27" s="8" t="str">
        <x:v>O2-T4</x:v>
      </x:c>
      <x:c r="C27" s="8" t="str">
        <x:v>Oracle ODI</x:v>
      </x:c>
      <x:c r="D27" s="8" t="str">
        <x:v>Storage, backup and DR</x:v>
      </x:c>
      <x:c r="E27" s="19"/>
      <x:c r="F27" s="19"/>
      <x:c r="G27" s="19"/>
      <x:c r="H27" s="19"/>
      <x:c r="I27" s="19"/>
      <x:c r="J27" s="19"/>
      <x:c r="K27" s="20" t="str">
        <x:f>IF(AND(COUNT(E27:J27)=6,MIN(E27:J27)&gt;=0,L27&lt;&gt;""),SUM(E27:J27),"")</x:f>
      </x:c>
      <x:c r="L27" s="15"/>
      <x:c r="M27" s="15"/>
    </x:row>
    <x:row r="28" ht="34" customHeight="1">
      <x:c r="A28" s="2"/>
      <x:c r="B28" s="8" t="str">
        <x:v>O2-T5</x:v>
      </x:c>
      <x:c r="C28" s="8" t="str">
        <x:v>Oracle ODI</x:v>
      </x:c>
      <x:c r="D28" s="8" t="str">
        <x:v>Network and facilities allocation</x:v>
      </x:c>
      <x:c r="E28" s="19"/>
      <x:c r="F28" s="19"/>
      <x:c r="G28" s="19"/>
      <x:c r="H28" s="19"/>
      <x:c r="I28" s="19"/>
      <x:c r="J28" s="19"/>
      <x:c r="K28" s="20" t="str">
        <x:f>IF(AND(COUNT(E28:J28)=6,MIN(E28:J28)&gt;=0,L28&lt;&gt;""),SUM(E28:J28),"")</x:f>
      </x:c>
      <x:c r="L28" s="15"/>
      <x:c r="M28" s="15"/>
    </x:row>
    <x:row r="29" ht="34" customHeight="1">
      <x:c r="A29" s="2"/>
      <x:c r="B29" s="8" t="str">
        <x:v>O2-T6</x:v>
      </x:c>
      <x:c r="C29" s="8" t="str">
        <x:v>Oracle ODI</x:v>
      </x:c>
      <x:c r="D29" s="8" t="str">
        <x:v>Implementation and migration</x:v>
      </x:c>
      <x:c r="E29" s="19"/>
      <x:c r="F29" s="19"/>
      <x:c r="G29" s="19"/>
      <x:c r="H29" s="19"/>
      <x:c r="I29" s="19"/>
      <x:c r="J29" s="19"/>
      <x:c r="K29" s="20" t="str">
        <x:f>IF(AND(COUNT(E29:J29)=6,MIN(E29:J29)&gt;=0,L29&lt;&gt;""),SUM(E29:J29),"")</x:f>
      </x:c>
      <x:c r="L29" s="15"/>
      <x:c r="M29" s="15"/>
    </x:row>
    <x:row r="30" ht="34" customHeight="1">
      <x:c r="A30" s="2"/>
      <x:c r="B30" s="8" t="str">
        <x:v>O2-T7</x:v>
      </x:c>
      <x:c r="C30" s="8" t="str">
        <x:v>Oracle ODI</x:v>
      </x:c>
      <x:c r="D30" s="8" t="str">
        <x:v>Operating staff and support</x:v>
      </x:c>
      <x:c r="E30" s="19"/>
      <x:c r="F30" s="19"/>
      <x:c r="G30" s="19"/>
      <x:c r="H30" s="19"/>
      <x:c r="I30" s="19"/>
      <x:c r="J30" s="19"/>
      <x:c r="K30" s="20" t="str">
        <x:f>IF(AND(COUNT(E30:J30)=6,MIN(E30:J30)&gt;=0,L30&lt;&gt;""),SUM(E30:J30),"")</x:f>
      </x:c>
      <x:c r="L30" s="15"/>
      <x:c r="M30" s="15"/>
    </x:row>
    <x:row r="31" ht="34" customHeight="1">
      <x:c r="A31" s="2"/>
      <x:c r="B31" s="8" t="str">
        <x:v>O2-T8</x:v>
      </x:c>
      <x:c r="C31" s="8" t="str">
        <x:v>Oracle ODI</x:v>
      </x:c>
      <x:c r="D31" s="8" t="str">
        <x:v>Security, governance and observability</x:v>
      </x:c>
      <x:c r="E31" s="19"/>
      <x:c r="F31" s="19"/>
      <x:c r="G31" s="19"/>
      <x:c r="H31" s="19"/>
      <x:c r="I31" s="19"/>
      <x:c r="J31" s="19"/>
      <x:c r="K31" s="20" t="str">
        <x:f>IF(AND(COUNT(E31:J31)=6,MIN(E31:J31)&gt;=0,L31&lt;&gt;""),SUM(E31:J31),"")</x:f>
      </x:c>
      <x:c r="L31" s="15"/>
      <x:c r="M31" s="15"/>
    </x:row>
    <x:row r="32" ht="34" customHeight="1">
      <x:c r="A32" s="2"/>
      <x:c r="B32" s="8" t="str">
        <x:v>O2-T9</x:v>
      </x:c>
      <x:c r="C32" s="8" t="str">
        <x:v>Oracle ODI</x:v>
      </x:c>
      <x:c r="D32" s="8" t="str">
        <x:v>Training and upgrade testing</x:v>
      </x:c>
      <x:c r="E32" s="19"/>
      <x:c r="F32" s="19"/>
      <x:c r="G32" s="19"/>
      <x:c r="H32" s="19"/>
      <x:c r="I32" s="19"/>
      <x:c r="J32" s="19"/>
      <x:c r="K32" s="20" t="str">
        <x:f>IF(AND(COUNT(E32:J32)=6,MIN(E32:J32)&gt;=0,L32&lt;&gt;""),SUM(E32:J32),"")</x:f>
      </x:c>
      <x:c r="L32" s="15"/>
      <x:c r="M32" s="15"/>
    </x:row>
    <x:row r="33" ht="34" customHeight="1">
      <x:c r="A33" s="2"/>
      <x:c r="B33" s="8" t="str">
        <x:v>O2-T10</x:v>
      </x:c>
      <x:c r="C33" s="8" t="str">
        <x:v>Oracle ODI</x:v>
      </x:c>
      <x:c r="D33" s="8" t="str">
        <x:v>Exit and decommissioning</x:v>
      </x:c>
      <x:c r="E33" s="19"/>
      <x:c r="F33" s="19"/>
      <x:c r="G33" s="19"/>
      <x:c r="H33" s="19"/>
      <x:c r="I33" s="19"/>
      <x:c r="J33" s="19"/>
      <x:c r="K33" s="20" t="str">
        <x:f>IF(AND(COUNT(E33:J33)=6,MIN(E33:J33)&gt;=0,L33&lt;&gt;""),SUM(E33:J33),"")</x:f>
      </x:c>
      <x:c r="L33" s="15"/>
      <x:c r="M33" s="15"/>
    </x:row>
    <x:row r="34" ht="34" customHeight="1">
      <x:c r="A34" s="2"/>
      <x:c r="B34" s="8" t="str">
        <x:v>O3-T1</x:v>
      </x:c>
      <x:c r="C34" s="8" t="str">
        <x:v>dbt Core v1 + Oracle</x:v>
      </x:c>
      <x:c r="D34" s="8" t="str">
        <x:v>Product subscriptions/licenses</x:v>
      </x:c>
      <x:c r="E34" s="19"/>
      <x:c r="F34" s="19"/>
      <x:c r="G34" s="19"/>
      <x:c r="H34" s="19"/>
      <x:c r="I34" s="19"/>
      <x:c r="J34" s="19"/>
      <x:c r="K34" s="20" t="str">
        <x:f>IF(AND(COUNT(E34:J34)=6,MIN(E34:J34)&gt;=0,L34&lt;&gt;""),SUM(E34:J34),"")</x:f>
      </x:c>
      <x:c r="L34" s="15"/>
      <x:c r="M34" s="15"/>
    </x:row>
    <x:row r="35" ht="34" customHeight="1">
      <x:c r="A35" s="2"/>
      <x:c r="B35" s="8" t="str">
        <x:v>O3-T2</x:v>
      </x:c>
      <x:c r="C35" s="8" t="str">
        <x:v>dbt Core v1 + Oracle</x:v>
      </x:c>
      <x:c r="D35" s="8" t="str">
        <x:v>Connectors and CDC</x:v>
      </x:c>
      <x:c r="E35" s="19"/>
      <x:c r="F35" s="19"/>
      <x:c r="G35" s="19"/>
      <x:c r="H35" s="19"/>
      <x:c r="I35" s="19"/>
      <x:c r="J35" s="19"/>
      <x:c r="K35" s="20" t="str">
        <x:f>IF(AND(COUNT(E35:J35)=6,MIN(E35:J35)&gt;=0,L35&lt;&gt;""),SUM(E35:J35),"")</x:f>
      </x:c>
      <x:c r="L35" s="15"/>
      <x:c r="M35" s="15"/>
    </x:row>
    <x:row r="36" ht="34" customHeight="1">
      <x:c r="A36" s="2"/>
      <x:c r="B36" s="8" t="str">
        <x:v>O3-T3</x:v>
      </x:c>
      <x:c r="C36" s="8" t="str">
        <x:v>dbt Core v1 + Oracle</x:v>
      </x:c>
      <x:c r="D36" s="8" t="str">
        <x:v>Compute and Exadata increment</x:v>
      </x:c>
      <x:c r="E36" s="19"/>
      <x:c r="F36" s="19"/>
      <x:c r="G36" s="19"/>
      <x:c r="H36" s="19"/>
      <x:c r="I36" s="19"/>
      <x:c r="J36" s="19"/>
      <x:c r="K36" s="20" t="str">
        <x:f>IF(AND(COUNT(E36:J36)=6,MIN(E36:J36)&gt;=0,L36&lt;&gt;""),SUM(E36:J36),"")</x:f>
      </x:c>
      <x:c r="L36" s="15"/>
      <x:c r="M36" s="15"/>
    </x:row>
    <x:row r="37" ht="34" customHeight="1">
      <x:c r="A37" s="2"/>
      <x:c r="B37" s="8" t="str">
        <x:v>O3-T4</x:v>
      </x:c>
      <x:c r="C37" s="8" t="str">
        <x:v>dbt Core v1 + Oracle</x:v>
      </x:c>
      <x:c r="D37" s="8" t="str">
        <x:v>Storage, backup and DR</x:v>
      </x:c>
      <x:c r="E37" s="19"/>
      <x:c r="F37" s="19"/>
      <x:c r="G37" s="19"/>
      <x:c r="H37" s="19"/>
      <x:c r="I37" s="19"/>
      <x:c r="J37" s="19"/>
      <x:c r="K37" s="20" t="str">
        <x:f>IF(AND(COUNT(E37:J37)=6,MIN(E37:J37)&gt;=0,L37&lt;&gt;""),SUM(E37:J37),"")</x:f>
      </x:c>
      <x:c r="L37" s="15"/>
      <x:c r="M37" s="15"/>
    </x:row>
    <x:row r="38" ht="34" customHeight="1">
      <x:c r="A38" s="2"/>
      <x:c r="B38" s="8" t="str">
        <x:v>O3-T5</x:v>
      </x:c>
      <x:c r="C38" s="8" t="str">
        <x:v>dbt Core v1 + Oracle</x:v>
      </x:c>
      <x:c r="D38" s="8" t="str">
        <x:v>Network and facilities allocation</x:v>
      </x:c>
      <x:c r="E38" s="19"/>
      <x:c r="F38" s="19"/>
      <x:c r="G38" s="19"/>
      <x:c r="H38" s="19"/>
      <x:c r="I38" s="19"/>
      <x:c r="J38" s="19"/>
      <x:c r="K38" s="20" t="str">
        <x:f>IF(AND(COUNT(E38:J38)=6,MIN(E38:J38)&gt;=0,L38&lt;&gt;""),SUM(E38:J38),"")</x:f>
      </x:c>
      <x:c r="L38" s="15"/>
      <x:c r="M38" s="15"/>
    </x:row>
    <x:row r="39" ht="34" customHeight="1">
      <x:c r="A39" s="2"/>
      <x:c r="B39" s="8" t="str">
        <x:v>O3-T6</x:v>
      </x:c>
      <x:c r="C39" s="8" t="str">
        <x:v>dbt Core v1 + Oracle</x:v>
      </x:c>
      <x:c r="D39" s="8" t="str">
        <x:v>Implementation and migration</x:v>
      </x:c>
      <x:c r="E39" s="19"/>
      <x:c r="F39" s="19"/>
      <x:c r="G39" s="19"/>
      <x:c r="H39" s="19"/>
      <x:c r="I39" s="19"/>
      <x:c r="J39" s="19"/>
      <x:c r="K39" s="20" t="str">
        <x:f>IF(AND(COUNT(E39:J39)=6,MIN(E39:J39)&gt;=0,L39&lt;&gt;""),SUM(E39:J39),"")</x:f>
      </x:c>
      <x:c r="L39" s="15"/>
      <x:c r="M39" s="15"/>
    </x:row>
    <x:row r="40" ht="34" customHeight="1">
      <x:c r="A40" s="2"/>
      <x:c r="B40" s="8" t="str">
        <x:v>O3-T7</x:v>
      </x:c>
      <x:c r="C40" s="8" t="str">
        <x:v>dbt Core v1 + Oracle</x:v>
      </x:c>
      <x:c r="D40" s="8" t="str">
        <x:v>Operating staff and support</x:v>
      </x:c>
      <x:c r="E40" s="19"/>
      <x:c r="F40" s="19"/>
      <x:c r="G40" s="19"/>
      <x:c r="H40" s="19"/>
      <x:c r="I40" s="19"/>
      <x:c r="J40" s="19"/>
      <x:c r="K40" s="20" t="str">
        <x:f>IF(AND(COUNT(E40:J40)=6,MIN(E40:J40)&gt;=0,L40&lt;&gt;""),SUM(E40:J40),"")</x:f>
      </x:c>
      <x:c r="L40" s="15"/>
      <x:c r="M40" s="15"/>
    </x:row>
    <x:row r="41" ht="34" customHeight="1">
      <x:c r="A41" s="2"/>
      <x:c r="B41" s="8" t="str">
        <x:v>O3-T8</x:v>
      </x:c>
      <x:c r="C41" s="8" t="str">
        <x:v>dbt Core v1 + Oracle</x:v>
      </x:c>
      <x:c r="D41" s="8" t="str">
        <x:v>Security, governance and observability</x:v>
      </x:c>
      <x:c r="E41" s="19"/>
      <x:c r="F41" s="19"/>
      <x:c r="G41" s="19"/>
      <x:c r="H41" s="19"/>
      <x:c r="I41" s="19"/>
      <x:c r="J41" s="19"/>
      <x:c r="K41" s="20" t="str">
        <x:f>IF(AND(COUNT(E41:J41)=6,MIN(E41:J41)&gt;=0,L41&lt;&gt;""),SUM(E41:J41),"")</x:f>
      </x:c>
      <x:c r="L41" s="15"/>
      <x:c r="M41" s="15"/>
    </x:row>
    <x:row r="42" ht="34" customHeight="1">
      <x:c r="A42" s="2"/>
      <x:c r="B42" s="8" t="str">
        <x:v>O3-T9</x:v>
      </x:c>
      <x:c r="C42" s="8" t="str">
        <x:v>dbt Core v1 + Oracle</x:v>
      </x:c>
      <x:c r="D42" s="8" t="str">
        <x:v>Training and upgrade testing</x:v>
      </x:c>
      <x:c r="E42" s="19"/>
      <x:c r="F42" s="19"/>
      <x:c r="G42" s="19"/>
      <x:c r="H42" s="19"/>
      <x:c r="I42" s="19"/>
      <x:c r="J42" s="19"/>
      <x:c r="K42" s="20" t="str">
        <x:f>IF(AND(COUNT(E42:J42)=6,MIN(E42:J42)&gt;=0,L42&lt;&gt;""),SUM(E42:J42),"")</x:f>
      </x:c>
      <x:c r="L42" s="15"/>
      <x:c r="M42" s="15"/>
    </x:row>
    <x:row r="43" ht="34" customHeight="1">
      <x:c r="A43" s="2"/>
      <x:c r="B43" s="8" t="str">
        <x:v>O3-T10</x:v>
      </x:c>
      <x:c r="C43" s="8" t="str">
        <x:v>dbt Core v1 + Oracle</x:v>
      </x:c>
      <x:c r="D43" s="8" t="str">
        <x:v>Exit and decommissioning</x:v>
      </x:c>
      <x:c r="E43" s="19"/>
      <x:c r="F43" s="19"/>
      <x:c r="G43" s="19"/>
      <x:c r="H43" s="19"/>
      <x:c r="I43" s="19"/>
      <x:c r="J43" s="19"/>
      <x:c r="K43" s="20" t="str">
        <x:f>IF(AND(COUNT(E43:J43)=6,MIN(E43:J43)&gt;=0,L43&lt;&gt;""),SUM(E43:J43),"")</x:f>
      </x:c>
      <x:c r="L43" s="15"/>
      <x:c r="M43" s="15"/>
    </x:row>
    <x:row r="44" ht="34" customHeight="1">
      <x:c r="A44" s="2"/>
      <x:c r="B44" s="8" t="str">
        <x:v>O4-T1</x:v>
      </x:c>
      <x:c r="C44" s="8" t="str">
        <x:v>Cloudera on premises</x:v>
      </x:c>
      <x:c r="D44" s="8" t="str">
        <x:v>Product subscriptions/licenses</x:v>
      </x:c>
      <x:c r="E44" s="19"/>
      <x:c r="F44" s="19"/>
      <x:c r="G44" s="19"/>
      <x:c r="H44" s="19"/>
      <x:c r="I44" s="19"/>
      <x:c r="J44" s="19"/>
      <x:c r="K44" s="20" t="str">
        <x:f>IF(AND(COUNT(E44:J44)=6,MIN(E44:J44)&gt;=0,L44&lt;&gt;""),SUM(E44:J44),"")</x:f>
      </x:c>
      <x:c r="L44" s="15"/>
      <x:c r="M44" s="15"/>
    </x:row>
    <x:row r="45" ht="34" customHeight="1">
      <x:c r="A45" s="2"/>
      <x:c r="B45" s="8" t="str">
        <x:v>O4-T2</x:v>
      </x:c>
      <x:c r="C45" s="8" t="str">
        <x:v>Cloudera on premises</x:v>
      </x:c>
      <x:c r="D45" s="8" t="str">
        <x:v>Connectors and CDC</x:v>
      </x:c>
      <x:c r="E45" s="19"/>
      <x:c r="F45" s="19"/>
      <x:c r="G45" s="19"/>
      <x:c r="H45" s="19"/>
      <x:c r="I45" s="19"/>
      <x:c r="J45" s="19"/>
      <x:c r="K45" s="20" t="str">
        <x:f>IF(AND(COUNT(E45:J45)=6,MIN(E45:J45)&gt;=0,L45&lt;&gt;""),SUM(E45:J45),"")</x:f>
      </x:c>
      <x:c r="L45" s="15"/>
      <x:c r="M45" s="15"/>
    </x:row>
    <x:row r="46" ht="34" customHeight="1">
      <x:c r="A46" s="2"/>
      <x:c r="B46" s="8" t="str">
        <x:v>O4-T3</x:v>
      </x:c>
      <x:c r="C46" s="8" t="str">
        <x:v>Cloudera on premises</x:v>
      </x:c>
      <x:c r="D46" s="8" t="str">
        <x:v>Compute and Exadata increment</x:v>
      </x:c>
      <x:c r="E46" s="19"/>
      <x:c r="F46" s="19"/>
      <x:c r="G46" s="19"/>
      <x:c r="H46" s="19"/>
      <x:c r="I46" s="19"/>
      <x:c r="J46" s="19"/>
      <x:c r="K46" s="20" t="str">
        <x:f>IF(AND(COUNT(E46:J46)=6,MIN(E46:J46)&gt;=0,L46&lt;&gt;""),SUM(E46:J46),"")</x:f>
      </x:c>
      <x:c r="L46" s="15"/>
      <x:c r="M46" s="15"/>
    </x:row>
    <x:row r="47" ht="34" customHeight="1">
      <x:c r="A47" s="2"/>
      <x:c r="B47" s="8" t="str">
        <x:v>O4-T4</x:v>
      </x:c>
      <x:c r="C47" s="8" t="str">
        <x:v>Cloudera on premises</x:v>
      </x:c>
      <x:c r="D47" s="8" t="str">
        <x:v>Storage, backup and DR</x:v>
      </x:c>
      <x:c r="E47" s="19"/>
      <x:c r="F47" s="19"/>
      <x:c r="G47" s="19"/>
      <x:c r="H47" s="19"/>
      <x:c r="I47" s="19"/>
      <x:c r="J47" s="19"/>
      <x:c r="K47" s="20" t="str">
        <x:f>IF(AND(COUNT(E47:J47)=6,MIN(E47:J47)&gt;=0,L47&lt;&gt;""),SUM(E47:J47),"")</x:f>
      </x:c>
      <x:c r="L47" s="15"/>
      <x:c r="M47" s="15"/>
    </x:row>
    <x:row r="48" ht="34" customHeight="1">
      <x:c r="A48" s="2"/>
      <x:c r="B48" s="8" t="str">
        <x:v>O4-T5</x:v>
      </x:c>
      <x:c r="C48" s="8" t="str">
        <x:v>Cloudera on premises</x:v>
      </x:c>
      <x:c r="D48" s="8" t="str">
        <x:v>Network and facilities allocation</x:v>
      </x:c>
      <x:c r="E48" s="19"/>
      <x:c r="F48" s="19"/>
      <x:c r="G48" s="19"/>
      <x:c r="H48" s="19"/>
      <x:c r="I48" s="19"/>
      <x:c r="J48" s="19"/>
      <x:c r="K48" s="20" t="str">
        <x:f>IF(AND(COUNT(E48:J48)=6,MIN(E48:J48)&gt;=0,L48&lt;&gt;""),SUM(E48:J48),"")</x:f>
      </x:c>
      <x:c r="L48" s="15"/>
      <x:c r="M48" s="15"/>
    </x:row>
    <x:row r="49" ht="34" customHeight="1">
      <x:c r="A49" s="2"/>
      <x:c r="B49" s="8" t="str">
        <x:v>O4-T6</x:v>
      </x:c>
      <x:c r="C49" s="8" t="str">
        <x:v>Cloudera on premises</x:v>
      </x:c>
      <x:c r="D49" s="8" t="str">
        <x:v>Implementation and migration</x:v>
      </x:c>
      <x:c r="E49" s="19"/>
      <x:c r="F49" s="19"/>
      <x:c r="G49" s="19"/>
      <x:c r="H49" s="19"/>
      <x:c r="I49" s="19"/>
      <x:c r="J49" s="19"/>
      <x:c r="K49" s="20" t="str">
        <x:f>IF(AND(COUNT(E49:J49)=6,MIN(E49:J49)&gt;=0,L49&lt;&gt;""),SUM(E49:J49),"")</x:f>
      </x:c>
      <x:c r="L49" s="15"/>
      <x:c r="M49" s="15"/>
    </x:row>
    <x:row r="50" ht="34" customHeight="1">
      <x:c r="A50" s="2"/>
      <x:c r="B50" s="8" t="str">
        <x:v>O4-T7</x:v>
      </x:c>
      <x:c r="C50" s="8" t="str">
        <x:v>Cloudera on premises</x:v>
      </x:c>
      <x:c r="D50" s="8" t="str">
        <x:v>Operating staff and support</x:v>
      </x:c>
      <x:c r="E50" s="19"/>
      <x:c r="F50" s="19"/>
      <x:c r="G50" s="19"/>
      <x:c r="H50" s="19"/>
      <x:c r="I50" s="19"/>
      <x:c r="J50" s="19"/>
      <x:c r="K50" s="20" t="str">
        <x:f>IF(AND(COUNT(E50:J50)=6,MIN(E50:J50)&gt;=0,L50&lt;&gt;""),SUM(E50:J50),"")</x:f>
      </x:c>
      <x:c r="L50" s="15"/>
      <x:c r="M50" s="15"/>
    </x:row>
    <x:row r="51" ht="34" customHeight="1">
      <x:c r="A51" s="2"/>
      <x:c r="B51" s="8" t="str">
        <x:v>O4-T8</x:v>
      </x:c>
      <x:c r="C51" s="8" t="str">
        <x:v>Cloudera on premises</x:v>
      </x:c>
      <x:c r="D51" s="8" t="str">
        <x:v>Security, governance and observability</x:v>
      </x:c>
      <x:c r="E51" s="19"/>
      <x:c r="F51" s="19"/>
      <x:c r="G51" s="19"/>
      <x:c r="H51" s="19"/>
      <x:c r="I51" s="19"/>
      <x:c r="J51" s="19"/>
      <x:c r="K51" s="20" t="str">
        <x:f>IF(AND(COUNT(E51:J51)=6,MIN(E51:J51)&gt;=0,L51&lt;&gt;""),SUM(E51:J51),"")</x:f>
      </x:c>
      <x:c r="L51" s="15"/>
      <x:c r="M51" s="15"/>
    </x:row>
    <x:row r="52" ht="34" customHeight="1">
      <x:c r="A52" s="2"/>
      <x:c r="B52" s="8" t="str">
        <x:v>O4-T9</x:v>
      </x:c>
      <x:c r="C52" s="8" t="str">
        <x:v>Cloudera on premises</x:v>
      </x:c>
      <x:c r="D52" s="8" t="str">
        <x:v>Training and upgrade testing</x:v>
      </x:c>
      <x:c r="E52" s="19"/>
      <x:c r="F52" s="19"/>
      <x:c r="G52" s="19"/>
      <x:c r="H52" s="19"/>
      <x:c r="I52" s="19"/>
      <x:c r="J52" s="19"/>
      <x:c r="K52" s="20" t="str">
        <x:f>IF(AND(COUNT(E52:J52)=6,MIN(E52:J52)&gt;=0,L52&lt;&gt;""),SUM(E52:J52),"")</x:f>
      </x:c>
      <x:c r="L52" s="15"/>
      <x:c r="M52" s="15"/>
    </x:row>
    <x:row r="53" ht="34" customHeight="1">
      <x:c r="A53" s="2"/>
      <x:c r="B53" s="8" t="str">
        <x:v>O4-T10</x:v>
      </x:c>
      <x:c r="C53" s="8" t="str">
        <x:v>Cloudera on premises</x:v>
      </x:c>
      <x:c r="D53" s="8" t="str">
        <x:v>Exit and decommissioning</x:v>
      </x:c>
      <x:c r="E53" s="19"/>
      <x:c r="F53" s="19"/>
      <x:c r="G53" s="19"/>
      <x:c r="H53" s="19"/>
      <x:c r="I53" s="19"/>
      <x:c r="J53" s="19"/>
      <x:c r="K53" s="20" t="str">
        <x:f>IF(AND(COUNT(E53:J53)=6,MIN(E53:J53)&gt;=0,L53&lt;&gt;""),SUM(E53:J53),"")</x:f>
      </x:c>
      <x:c r="L53" s="15"/>
      <x:c r="M53" s="15"/>
    </x:row>
    <x:row r="54" ht="34" customHeight="1">
      <x:c r="A54" s="2"/>
      <x:c r="B54" s="8" t="str">
        <x:v>O5-T1</x:v>
      </x:c>
      <x:c r="C54" s="8" t="str">
        <x:v>Apache Spark on premises</x:v>
      </x:c>
      <x:c r="D54" s="8" t="str">
        <x:v>Product subscriptions/licenses</x:v>
      </x:c>
      <x:c r="E54" s="19"/>
      <x:c r="F54" s="19"/>
      <x:c r="G54" s="19"/>
      <x:c r="H54" s="19"/>
      <x:c r="I54" s="19"/>
      <x:c r="J54" s="19"/>
      <x:c r="K54" s="20" t="str">
        <x:f>IF(AND(COUNT(E54:J54)=6,MIN(E54:J54)&gt;=0,L54&lt;&gt;""),SUM(E54:J54),"")</x:f>
      </x:c>
      <x:c r="L54" s="15"/>
      <x:c r="M54" s="15"/>
    </x:row>
    <x:row r="55" ht="34" customHeight="1">
      <x:c r="A55" s="2"/>
      <x:c r="B55" s="8" t="str">
        <x:v>O5-T2</x:v>
      </x:c>
      <x:c r="C55" s="8" t="str">
        <x:v>Apache Spark on premises</x:v>
      </x:c>
      <x:c r="D55" s="8" t="str">
        <x:v>Connectors and CDC</x:v>
      </x:c>
      <x:c r="E55" s="19"/>
      <x:c r="F55" s="19"/>
      <x:c r="G55" s="19"/>
      <x:c r="H55" s="19"/>
      <x:c r="I55" s="19"/>
      <x:c r="J55" s="19"/>
      <x:c r="K55" s="20" t="str">
        <x:f>IF(AND(COUNT(E55:J55)=6,MIN(E55:J55)&gt;=0,L55&lt;&gt;""),SUM(E55:J55),"")</x:f>
      </x:c>
      <x:c r="L55" s="15"/>
      <x:c r="M55" s="15"/>
    </x:row>
    <x:row r="56" ht="34" customHeight="1">
      <x:c r="A56" s="2"/>
      <x:c r="B56" s="8" t="str">
        <x:v>O5-T3</x:v>
      </x:c>
      <x:c r="C56" s="8" t="str">
        <x:v>Apache Spark on premises</x:v>
      </x:c>
      <x:c r="D56" s="8" t="str">
        <x:v>Compute and Exadata increment</x:v>
      </x:c>
      <x:c r="E56" s="19"/>
      <x:c r="F56" s="19"/>
      <x:c r="G56" s="19"/>
      <x:c r="H56" s="19"/>
      <x:c r="I56" s="19"/>
      <x:c r="J56" s="19"/>
      <x:c r="K56" s="20" t="str">
        <x:f>IF(AND(COUNT(E56:J56)=6,MIN(E56:J56)&gt;=0,L56&lt;&gt;""),SUM(E56:J56),"")</x:f>
      </x:c>
      <x:c r="L56" s="15"/>
      <x:c r="M56" s="15"/>
    </x:row>
    <x:row r="57" ht="34" customHeight="1">
      <x:c r="A57" s="2"/>
      <x:c r="B57" s="8" t="str">
        <x:v>O5-T4</x:v>
      </x:c>
      <x:c r="C57" s="8" t="str">
        <x:v>Apache Spark on premises</x:v>
      </x:c>
      <x:c r="D57" s="8" t="str">
        <x:v>Storage, backup and DR</x:v>
      </x:c>
      <x:c r="E57" s="19"/>
      <x:c r="F57" s="19"/>
      <x:c r="G57" s="19"/>
      <x:c r="H57" s="19"/>
      <x:c r="I57" s="19"/>
      <x:c r="J57" s="19"/>
      <x:c r="K57" s="20" t="str">
        <x:f>IF(AND(COUNT(E57:J57)=6,MIN(E57:J57)&gt;=0,L57&lt;&gt;""),SUM(E57:J57),"")</x:f>
      </x:c>
      <x:c r="L57" s="15"/>
      <x:c r="M57" s="15"/>
    </x:row>
    <x:row r="58" ht="34" customHeight="1">
      <x:c r="A58" s="2"/>
      <x:c r="B58" s="8" t="str">
        <x:v>O5-T5</x:v>
      </x:c>
      <x:c r="C58" s="8" t="str">
        <x:v>Apache Spark on premises</x:v>
      </x:c>
      <x:c r="D58" s="8" t="str">
        <x:v>Network and facilities allocation</x:v>
      </x:c>
      <x:c r="E58" s="19"/>
      <x:c r="F58" s="19"/>
      <x:c r="G58" s="19"/>
      <x:c r="H58" s="19"/>
      <x:c r="I58" s="19"/>
      <x:c r="J58" s="19"/>
      <x:c r="K58" s="20" t="str">
        <x:f>IF(AND(COUNT(E58:J58)=6,MIN(E58:J58)&gt;=0,L58&lt;&gt;""),SUM(E58:J58),"")</x:f>
      </x:c>
      <x:c r="L58" s="15"/>
      <x:c r="M58" s="15"/>
    </x:row>
    <x:row r="59" ht="34" customHeight="1">
      <x:c r="A59" s="2"/>
      <x:c r="B59" s="8" t="str">
        <x:v>O5-T6</x:v>
      </x:c>
      <x:c r="C59" s="8" t="str">
        <x:v>Apache Spark on premises</x:v>
      </x:c>
      <x:c r="D59" s="8" t="str">
        <x:v>Implementation and migration</x:v>
      </x:c>
      <x:c r="E59" s="19"/>
      <x:c r="F59" s="19"/>
      <x:c r="G59" s="19"/>
      <x:c r="H59" s="19"/>
      <x:c r="I59" s="19"/>
      <x:c r="J59" s="19"/>
      <x:c r="K59" s="20" t="str">
        <x:f>IF(AND(COUNT(E59:J59)=6,MIN(E59:J59)&gt;=0,L59&lt;&gt;""),SUM(E59:J59),"")</x:f>
      </x:c>
      <x:c r="L59" s="15"/>
      <x:c r="M59" s="15"/>
    </x:row>
    <x:row r="60" ht="34" customHeight="1">
      <x:c r="A60" s="2"/>
      <x:c r="B60" s="8" t="str">
        <x:v>O5-T7</x:v>
      </x:c>
      <x:c r="C60" s="8" t="str">
        <x:v>Apache Spark on premises</x:v>
      </x:c>
      <x:c r="D60" s="8" t="str">
        <x:v>Operating staff and support</x:v>
      </x:c>
      <x:c r="E60" s="19"/>
      <x:c r="F60" s="19"/>
      <x:c r="G60" s="19"/>
      <x:c r="H60" s="19"/>
      <x:c r="I60" s="19"/>
      <x:c r="J60" s="19"/>
      <x:c r="K60" s="20" t="str">
        <x:f>IF(AND(COUNT(E60:J60)=6,MIN(E60:J60)&gt;=0,L60&lt;&gt;""),SUM(E60:J60),"")</x:f>
      </x:c>
      <x:c r="L60" s="15"/>
      <x:c r="M60" s="15"/>
    </x:row>
    <x:row r="61" ht="34" customHeight="1">
      <x:c r="A61" s="2"/>
      <x:c r="B61" s="8" t="str">
        <x:v>O5-T8</x:v>
      </x:c>
      <x:c r="C61" s="8" t="str">
        <x:v>Apache Spark on premises</x:v>
      </x:c>
      <x:c r="D61" s="8" t="str">
        <x:v>Security, governance and observability</x:v>
      </x:c>
      <x:c r="E61" s="19"/>
      <x:c r="F61" s="19"/>
      <x:c r="G61" s="19"/>
      <x:c r="H61" s="19"/>
      <x:c r="I61" s="19"/>
      <x:c r="J61" s="19"/>
      <x:c r="K61" s="20" t="str">
        <x:f>IF(AND(COUNT(E61:J61)=6,MIN(E61:J61)&gt;=0,L61&lt;&gt;""),SUM(E61:J61),"")</x:f>
      </x:c>
      <x:c r="L61" s="15"/>
      <x:c r="M61" s="15"/>
    </x:row>
    <x:row r="62" ht="34" customHeight="1">
      <x:c r="A62" s="2"/>
      <x:c r="B62" s="8" t="str">
        <x:v>O5-T9</x:v>
      </x:c>
      <x:c r="C62" s="8" t="str">
        <x:v>Apache Spark on premises</x:v>
      </x:c>
      <x:c r="D62" s="8" t="str">
        <x:v>Training and upgrade testing</x:v>
      </x:c>
      <x:c r="E62" s="19"/>
      <x:c r="F62" s="19"/>
      <x:c r="G62" s="19"/>
      <x:c r="H62" s="19"/>
      <x:c r="I62" s="19"/>
      <x:c r="J62" s="19"/>
      <x:c r="K62" s="20" t="str">
        <x:f>IF(AND(COUNT(E62:J62)=6,MIN(E62:J62)&gt;=0,L62&lt;&gt;""),SUM(E62:J62),"")</x:f>
      </x:c>
      <x:c r="L62" s="15"/>
      <x:c r="M62" s="15"/>
    </x:row>
    <x:row r="63" ht="34" customHeight="1">
      <x:c r="A63" s="2"/>
      <x:c r="B63" s="8" t="str">
        <x:v>O5-T10</x:v>
      </x:c>
      <x:c r="C63" s="8" t="str">
        <x:v>Apache Spark on premises</x:v>
      </x:c>
      <x:c r="D63" s="8" t="str">
        <x:v>Exit and decommissioning</x:v>
      </x:c>
      <x:c r="E63" s="19"/>
      <x:c r="F63" s="19"/>
      <x:c r="G63" s="19"/>
      <x:c r="H63" s="19"/>
      <x:c r="I63" s="19"/>
      <x:c r="J63" s="19"/>
      <x:c r="K63" s="20" t="str">
        <x:f>IF(AND(COUNT(E63:J63)=6,MIN(E63:J63)&gt;=0,L63&lt;&gt;""),SUM(E63:J63),"")</x:f>
      </x:c>
      <x:c r="L63" s="15"/>
      <x:c r="M63" s="15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 t="str">
        <x:v>Compare incremental cash cost here. Document shared-resource allocation and existing capacity separately.</x:v>
      </x:c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 t="str">
        <x:v>Avoid double counting connectors, CDC, subscriptions and support already included in another quoted line.</x:v>
      </x:c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</x:sheetData>
  <x:pageMargins left="0.7" right="0.7" top="0.75" bottom="0.75" header="0.3" footer="0.3"/>
</x:worksheet>
</file>