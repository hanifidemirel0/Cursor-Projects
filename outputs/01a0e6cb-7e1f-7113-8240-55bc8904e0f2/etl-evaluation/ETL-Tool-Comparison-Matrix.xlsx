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 Scorecard" sheetId="2" state="visible" r:id="rId2"/>
    <sheet name="A1 Cost sensitivity" sheetId="3" state="visible" r:id="rId3"/>
    <sheet name="B Gates" sheetId="4" state="visible" r:id="rId4"/>
    <sheet name="C Capabilities" sheetId="5" state="visible" r:id="rId5"/>
    <sheet name="D Fit factors" sheetId="6" state="visible" r:id="rId6"/>
    <sheet name="E Risk heat map" sheetId="7" state="visible" r:id="rId7"/>
    <sheet name="F PoC exposure" sheetId="8" state="visible" r:id="rId8"/>
    <sheet name="G Confidence"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4"/>
    </font>
    <font>
      <i val="1"/>
      <color rgb="00595959"/>
    </font>
    <font>
      <b val="1"/>
    </font>
    <font/>
    <font>
      <b val="1"/>
      <color rgb="00FFFFFF"/>
    </font>
  </fonts>
  <fills count="9">
    <fill>
      <patternFill/>
    </fill>
    <fill>
      <patternFill patternType="gray125"/>
    </fill>
    <fill>
      <patternFill patternType="solid">
        <fgColor rgb="00C6EFCE"/>
      </patternFill>
    </fill>
    <fill>
      <patternFill patternType="solid">
        <fgColor rgb="00FFEB9C"/>
      </patternFill>
    </fill>
    <fill>
      <patternFill patternType="solid">
        <fgColor rgb="00F8CBAD"/>
      </patternFill>
    </fill>
    <fill>
      <patternFill patternType="solid">
        <fgColor rgb="00BDD7EE"/>
      </patternFill>
    </fill>
    <fill>
      <patternFill patternType="solid">
        <fgColor rgb="00E7E6E6"/>
      </patternFill>
    </fill>
    <fill>
      <patternFill patternType="solid">
        <fgColor rgb="00FFC7CE"/>
      </patternFill>
    </fill>
    <fill>
      <patternFill patternType="solid">
        <fgColor rgb="001F386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wrapText="1"/>
    </xf>
    <xf numFmtId="0" fontId="5" fillId="8" borderId="1" applyAlignment="1" pivotButton="0" quotePrefix="0" xfId="0">
      <alignment horizontal="center" vertical="center" wrapText="1"/>
    </xf>
    <xf numFmtId="0" fontId="4" fillId="0" borderId="0" pivotButton="0" quotePrefix="0" xfId="0"/>
    <xf numFmtId="0" fontId="0" fillId="0" borderId="0" applyAlignment="1" pivotButton="0" quotePrefix="0" xfId="0">
      <alignment vertical="top" wrapText="1"/>
    </xf>
    <xf numFmtId="0" fontId="3"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3" fillId="6" borderId="0" pivotButton="0" quotePrefix="0" xfId="0"/>
    <xf numFmtId="0" fontId="3" fillId="7" borderId="0" pivotButton="0" quotePrefix="0" xfId="0"/>
    <xf numFmtId="0" fontId="5" fillId="8"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center" wrapText="1"/>
    </xf>
    <xf numFmtId="2"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0" fontId="3" fillId="0" borderId="1" applyAlignment="1" pivotButton="0" quotePrefix="0" xfId="0">
      <alignment vertical="top" wrapText="1"/>
    </xf>
    <xf numFmtId="2" fontId="0" fillId="0" borderId="1" applyAlignment="1" pivotButton="0" quotePrefix="0" xfId="0">
      <alignment vertical="top" wrapText="1"/>
    </xf>
    <xf numFmtId="164" fontId="3" fillId="0" borderId="1" applyAlignment="1" pivotButton="0" quotePrefix="0" xfId="0">
      <alignment horizontal="center" vertical="center" wrapText="1"/>
    </xf>
    <xf numFmtId="164" fontId="0" fillId="0"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3" fillId="0"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dxfs count="6">
    <dxf>
      <fill>
        <patternFill patternType="solid">
          <fgColor rgb="00C6EFCE"/>
        </patternFill>
      </fill>
    </dxf>
    <dxf>
      <fill>
        <patternFill patternType="solid">
          <fgColor rgb="00FFEB9C"/>
        </patternFill>
      </fill>
    </dxf>
    <dxf>
      <fill>
        <patternFill patternType="solid">
          <fgColor rgb="00F8CBAD"/>
        </patternFill>
      </fill>
    </dxf>
    <dxf>
      <fill>
        <patternFill patternType="solid">
          <fgColor rgb="00E7E6E6"/>
        </patternFill>
      </fill>
    </dxf>
    <dxf>
      <fill>
        <patternFill patternType="solid">
          <fgColor rgb="00FFC7CE"/>
        </patternFill>
      </fill>
    </dxf>
    <dxf>
      <fill>
        <patternFill patternType="solid">
          <fgColor rgb="00BDD7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Capabilities" displayName="Capabilities" ref="A4:H40" headerRowCount="1">
  <autoFilter ref="A4:H40"/>
  <tableColumns count="8">
    <tableColumn id="1" name="#"/>
    <tableColumn id="2" name="Feature"/>
    <tableColumn id="3" name="Group"/>
    <tableColumn id="4" name="ODI"/>
    <tableColumn id="5" name="PC"/>
    <tableColumn id="6" name="dbt"/>
    <tableColumn id="7" name="CDP"/>
    <tableColumn id="8" name="Spark"/>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2" customWidth="1" min="1" max="1"/>
    <col width="120" customWidth="1" min="2" max="2"/>
  </cols>
  <sheetData>
    <row r="1">
      <c r="A1" s="1" t="inlineStr">
        <is>
          <t>ETL Tool Comparison Matrix — Takasbank on-premises Exadata EDW</t>
        </is>
      </c>
    </row>
    <row r="2" ht="60" customHeight="1">
      <c r="A2" s="2" t="inlineStr">
        <is>
          <t>Grid view of five candidates. Desk assessment from official documentation and bank notes (sources rechecked 12 October 2026). No installation, test or quote at Takasbank. All mandatory gates Pending; cost unassessed. Ratings are architect judgment on the 0–5 desk scale, not acceptance results.</t>
        </is>
      </c>
    </row>
    <row r="4">
      <c r="A4" s="3" t="inlineStr">
        <is>
          <t>Sheet</t>
        </is>
      </c>
      <c r="B4" s="3" t="inlineStr">
        <is>
          <t>Content</t>
        </is>
      </c>
    </row>
    <row r="5">
      <c r="A5" s="4" t="inlineStr">
        <is>
          <t>A Scorecard</t>
        </is>
      </c>
      <c r="B5" s="5" t="inlineStr">
        <is>
          <t>Rating per criterion, points contributed (weight × rating ÷ 5), points earned / 91.5, provisional fit / 100 (rescaled, cost excluded). Formulas live; change a rating and the fit updates.</t>
        </is>
      </c>
    </row>
    <row r="6">
      <c r="A6" s="4" t="inlineStr">
        <is>
          <t>A1 Cost sensitivity</t>
        </is>
      </c>
      <c r="B6" s="5" t="inlineStr">
        <is>
          <t>Cost-rating advantage a challenger needs over ODI for the order to flip (full score = points + 1.7 × cost rating).</t>
        </is>
      </c>
    </row>
    <row r="7">
      <c r="A7" s="4" t="inlineStr">
        <is>
          <t>B Gates</t>
        </is>
      </c>
      <c r="B7" s="5" t="inlineStr">
        <is>
          <t>Three mandatory pass/fail gates per candidate with the decisive evidence and P-tests.</t>
        </is>
      </c>
    </row>
    <row r="8">
      <c r="A8" s="4" t="inlineStr">
        <is>
          <t>C Capabilities</t>
        </is>
      </c>
      <c r="B8" s="5" t="inlineStr">
        <is>
          <t>Feature grid F01–F36 using the workbook labels; label counts per tool via COUNTIF. Evidence for ratings, never added to the score.</t>
        </is>
      </c>
    </row>
    <row r="9">
      <c r="A9" s="4" t="inlineStr">
        <is>
          <t>D Fit factors</t>
        </is>
      </c>
      <c r="B9" s="5" t="inlineStr">
        <is>
          <t>Yes / No / Partly against Takasbank's situation and disposition.</t>
        </is>
      </c>
    </row>
    <row r="10">
      <c r="A10" s="4" t="inlineStr">
        <is>
          <t>E Risk heat map</t>
        </is>
      </c>
      <c r="B10" s="5" t="inlineStr">
        <is>
          <t>Ten risk themes rated H / M / L per candidate with H counts.</t>
        </is>
      </c>
    </row>
    <row r="11">
      <c r="A11" s="4" t="inlineStr">
        <is>
          <t>F PoC exposure</t>
        </is>
      </c>
      <c r="B11" s="5" t="inlineStr">
        <is>
          <t>How decisively each P01–P12 test can move each candidate (H / M / L) plus the single decisive PoC per tool.</t>
        </is>
      </c>
    </row>
    <row r="12">
      <c r="A12" s="4" t="inlineStr">
        <is>
          <t>G Confidence</t>
        </is>
      </c>
      <c r="B12" s="5" t="inlineStr">
        <is>
          <t>Evidence confidence per dimension.</t>
        </is>
      </c>
    </row>
    <row r="13">
      <c r="A13" s="4" t="inlineStr"/>
      <c r="B13" s="5" t="inlineStr"/>
    </row>
    <row r="14">
      <c r="A14" s="6" t="inlineStr">
        <is>
          <t>Legend</t>
        </is>
      </c>
      <c r="B14" s="5" t="inlineStr"/>
    </row>
    <row r="15">
      <c r="A15" s="4" t="inlineStr">
        <is>
          <t>0–5</t>
        </is>
      </c>
      <c r="B15" s="5" t="inlineStr">
        <is>
          <t>0 unsuitable · 1 major gaps · 2 material extra work · 3 credible documented path · 4 strong architectural fit · 5 demonstrated superiority (never awarded on paper)</t>
        </is>
      </c>
    </row>
    <row r="16">
      <c r="A16" s="7" t="inlineStr">
        <is>
          <t>Built-in</t>
        </is>
      </c>
      <c r="B16" s="5" t="inlineStr">
        <is>
          <t>Product capability; configuration required</t>
        </is>
      </c>
    </row>
    <row r="17">
      <c r="A17" s="8" t="inlineStr">
        <is>
          <t>Limited</t>
        </is>
      </c>
      <c r="B17" s="5" t="inlineStr">
        <is>
          <t>Partial scope or partial coverage</t>
        </is>
      </c>
    </row>
    <row r="18">
      <c r="A18" s="9" t="inlineStr">
        <is>
          <t>Implement</t>
        </is>
      </c>
      <c r="B18" s="5" t="inlineStr">
        <is>
          <t>Bank-specific SQL / code / design</t>
        </is>
      </c>
    </row>
    <row r="19">
      <c r="A19" s="10" t="inlineStr">
        <is>
          <t>Add-on</t>
        </is>
      </c>
      <c r="B19" s="5" t="inlineStr">
        <is>
          <t>Another product, service or component is required</t>
        </is>
      </c>
    </row>
    <row r="20">
      <c r="A20" s="11" t="inlineStr">
        <is>
          <t>Validate</t>
        </is>
      </c>
      <c r="B20" s="5" t="inlineStr">
        <is>
          <t>Insufficient evidence for the selected offer; must be proven</t>
        </is>
      </c>
    </row>
    <row r="21">
      <c r="A21" s="12" t="inlineStr">
        <is>
          <t>Out of scope</t>
        </is>
      </c>
      <c r="B21" s="5" t="inlineStr">
        <is>
          <t>Absent from the baseline product</t>
        </is>
      </c>
    </row>
    <row r="22">
      <c r="A22" s="4" t="inlineStr">
        <is>
          <t>H / M / L</t>
        </is>
      </c>
      <c r="B22" s="5" t="inlineStr">
        <is>
          <t>Risk or exposure: high / medium / low</t>
        </is>
      </c>
    </row>
    <row r="23">
      <c r="A23" s="4" t="inlineStr"/>
      <c r="B23" s="5" t="inlineStr"/>
    </row>
    <row r="24">
      <c r="A24" s="6" t="inlineStr">
        <is>
          <t>Related</t>
        </is>
      </c>
      <c r="B24" s="5" t="inlineStr">
        <is>
          <t>ETL-Tool-Comparison.xlsx (system of record for ratings and source IDs) · Obsidian notes: ETL Tool Comparison, ETL Tool Evaluation, ETL Proof of Concept and Acceptance, ETL Vendor RFI and Commercial Evaluation, ETL Selection Decision Record</t>
        </is>
      </c>
    </row>
    <row r="25">
      <c r="A25" s="6" t="inlineStr">
        <is>
          <t>Update rule</t>
        </is>
      </c>
      <c r="B25" s="5" t="inlineStr">
        <is>
          <t>Replace desk ratings with test-supported ratings after each P-test; enter cost only when comparable five-year quotes exist; flip gates to Pass/Fail with named evidence; a Fail removes the column.</t>
        </is>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9"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1" t="inlineStr">
        <is>
          <t>Matrix A — Weighted scorecard</t>
        </is>
      </c>
    </row>
    <row r="2" ht="32" customHeight="1">
      <c r="A2" s="2" t="inlineStr">
        <is>
          <t>Rating per criterion and the points it contributes to the 100-point scale (weight × rating ÷ 5). Cost (8.5 points) is excluded, not scored zero; provisional fit rescales the remaining 91.5 points to 100.</t>
        </is>
      </c>
    </row>
    <row r="4">
      <c r="A4" s="3" t="inlineStr">
        <is>
          <t>#</t>
        </is>
      </c>
      <c r="B4" s="3" t="inlineStr">
        <is>
          <t>Criterion</t>
        </is>
      </c>
      <c r="C4" s="3" t="inlineStr">
        <is>
          <t>Weight</t>
        </is>
      </c>
      <c r="D4" s="3" t="inlineStr">
        <is>
          <t>ODI rating</t>
        </is>
      </c>
      <c r="E4" s="3" t="inlineStr">
        <is>
          <t>PC rating</t>
        </is>
      </c>
      <c r="F4" s="3" t="inlineStr">
        <is>
          <t>dbt rating</t>
        </is>
      </c>
      <c r="G4" s="3" t="inlineStr">
        <is>
          <t>CDP rating</t>
        </is>
      </c>
      <c r="H4" s="3" t="inlineStr">
        <is>
          <t>Spark rating</t>
        </is>
      </c>
      <c r="I4" s="3" t="inlineStr">
        <is>
          <t>ODI points</t>
        </is>
      </c>
      <c r="J4" s="3" t="inlineStr">
        <is>
          <t>PC points</t>
        </is>
      </c>
      <c r="K4" s="3" t="inlineStr">
        <is>
          <t>dbt points</t>
        </is>
      </c>
      <c r="L4" s="3" t="inlineStr">
        <is>
          <t>CDP points</t>
        </is>
      </c>
      <c r="M4" s="3" t="inlineStr">
        <is>
          <t>Spark points</t>
        </is>
      </c>
      <c r="N4" s="13" t="inlineStr">
        <is>
          <t>Row max</t>
        </is>
      </c>
    </row>
    <row r="5">
      <c r="A5" s="14" t="inlineStr">
        <is>
          <t>03</t>
        </is>
      </c>
      <c r="B5" s="14" t="inlineStr">
        <is>
          <t>Source integration and data movement</t>
        </is>
      </c>
      <c r="C5" s="14" t="n">
        <v>9.35</v>
      </c>
      <c r="D5" s="15" t="n">
        <v>4</v>
      </c>
      <c r="E5" s="15" t="n">
        <v>4</v>
      </c>
      <c r="F5" s="15" t="n">
        <v>2</v>
      </c>
      <c r="G5" s="15" t="n">
        <v>3</v>
      </c>
      <c r="H5" s="15" t="n">
        <v>2</v>
      </c>
      <c r="I5" s="16">
        <f>D5*$C5/5</f>
        <v/>
      </c>
      <c r="J5" s="16">
        <f>E5*$C5/5</f>
        <v/>
      </c>
      <c r="K5" s="16">
        <f>F5*$C5/5</f>
        <v/>
      </c>
      <c r="L5" s="16">
        <f>G5*$C5/5</f>
        <v/>
      </c>
      <c r="M5" s="16">
        <f>H5*$C5/5</f>
        <v/>
      </c>
      <c r="N5" s="17">
        <f>MAX(D5:H5)</f>
        <v/>
      </c>
    </row>
    <row r="6">
      <c r="A6" s="14" t="inlineStr">
        <is>
          <t>04</t>
        </is>
      </c>
      <c r="B6" s="14" t="inlineStr">
        <is>
          <t>Transformation and Exadata efficiency</t>
        </is>
      </c>
      <c r="C6" s="14" t="n">
        <v>11.05</v>
      </c>
      <c r="D6" s="15" t="n">
        <v>4</v>
      </c>
      <c r="E6" s="15" t="n">
        <v>3</v>
      </c>
      <c r="F6" s="15" t="n">
        <v>4</v>
      </c>
      <c r="G6" s="15" t="n">
        <v>2</v>
      </c>
      <c r="H6" s="15" t="n">
        <v>2</v>
      </c>
      <c r="I6" s="16">
        <f>D6*$C6/5</f>
        <v/>
      </c>
      <c r="J6" s="16">
        <f>E6*$C6/5</f>
        <v/>
      </c>
      <c r="K6" s="16">
        <f>F6*$C6/5</f>
        <v/>
      </c>
      <c r="L6" s="16">
        <f>G6*$C6/5</f>
        <v/>
      </c>
      <c r="M6" s="16">
        <f>H6*$C6/5</f>
        <v/>
      </c>
      <c r="N6" s="17">
        <f>MAX(D6:H6)</f>
        <v/>
      </c>
    </row>
    <row r="7">
      <c r="A7" s="14" t="inlineStr">
        <is>
          <t>05</t>
        </is>
      </c>
      <c r="B7" s="14" t="inlineStr">
        <is>
          <t>Data correctness, history and reconciliation</t>
        </is>
      </c>
      <c r="C7" s="14" t="n">
        <v>17</v>
      </c>
      <c r="D7" s="15" t="n">
        <v>3.5</v>
      </c>
      <c r="E7" s="15" t="n">
        <v>3</v>
      </c>
      <c r="F7" s="15" t="n">
        <v>3</v>
      </c>
      <c r="G7" s="15" t="n">
        <v>2.5</v>
      </c>
      <c r="H7" s="15" t="n">
        <v>2.5</v>
      </c>
      <c r="I7" s="16">
        <f>D7*$C7/5</f>
        <v/>
      </c>
      <c r="J7" s="16">
        <f>E7*$C7/5</f>
        <v/>
      </c>
      <c r="K7" s="16">
        <f>F7*$C7/5</f>
        <v/>
      </c>
      <c r="L7" s="16">
        <f>G7*$C7/5</f>
        <v/>
      </c>
      <c r="M7" s="16">
        <f>H7*$C7/5</f>
        <v/>
      </c>
      <c r="N7" s="17">
        <f>MAX(D7:H7)</f>
        <v/>
      </c>
    </row>
    <row r="8">
      <c r="A8" s="14" t="inlineStr">
        <is>
          <t>06</t>
        </is>
      </c>
      <c r="B8" s="14" t="inlineStr">
        <is>
          <t>Scheduling, operational reporting and recovery</t>
        </is>
      </c>
      <c r="C8" s="14" t="n">
        <v>10.2</v>
      </c>
      <c r="D8" s="15" t="n">
        <v>4</v>
      </c>
      <c r="E8" s="15" t="n">
        <v>3.5</v>
      </c>
      <c r="F8" s="15" t="n">
        <v>2.5</v>
      </c>
      <c r="G8" s="15" t="n">
        <v>2.5</v>
      </c>
      <c r="H8" s="15" t="n">
        <v>2</v>
      </c>
      <c r="I8" s="16">
        <f>D8*$C8/5</f>
        <v/>
      </c>
      <c r="J8" s="16">
        <f>E8*$C8/5</f>
        <v/>
      </c>
      <c r="K8" s="16">
        <f>F8*$C8/5</f>
        <v/>
      </c>
      <c r="L8" s="16">
        <f>G8*$C8/5</f>
        <v/>
      </c>
      <c r="M8" s="16">
        <f>H8*$C8/5</f>
        <v/>
      </c>
      <c r="N8" s="17">
        <f>MAX(D8:H8)</f>
        <v/>
      </c>
    </row>
    <row r="9">
      <c r="A9" s="14" t="inlineStr">
        <is>
          <t>07</t>
        </is>
      </c>
      <c r="B9" s="14" t="inlineStr">
        <is>
          <t>Security, metadata and auditability</t>
        </is>
      </c>
      <c r="C9" s="14" t="n">
        <v>13.6</v>
      </c>
      <c r="D9" s="15" t="n">
        <v>3</v>
      </c>
      <c r="E9" s="15" t="n">
        <v>3</v>
      </c>
      <c r="F9" s="15" t="n">
        <v>2.5</v>
      </c>
      <c r="G9" s="15" t="n">
        <v>3.5</v>
      </c>
      <c r="H9" s="15" t="n">
        <v>2</v>
      </c>
      <c r="I9" s="16">
        <f>D9*$C9/5</f>
        <v/>
      </c>
      <c r="J9" s="16">
        <f>E9*$C9/5</f>
        <v/>
      </c>
      <c r="K9" s="16">
        <f>F9*$C9/5</f>
        <v/>
      </c>
      <c r="L9" s="16">
        <f>G9*$C9/5</f>
        <v/>
      </c>
      <c r="M9" s="16">
        <f>H9*$C9/5</f>
        <v/>
      </c>
      <c r="N9" s="17">
        <f>MAX(D9:H9)</f>
        <v/>
      </c>
    </row>
    <row r="10">
      <c r="A10" s="14" t="inlineStr">
        <is>
          <t>08</t>
        </is>
      </c>
      <c r="B10" s="14" t="inlineStr">
        <is>
          <t>Development, testing and change management</t>
        </is>
      </c>
      <c r="C10" s="14" t="n">
        <v>5.95</v>
      </c>
      <c r="D10" s="15" t="n">
        <v>3</v>
      </c>
      <c r="E10" s="15" t="n">
        <v>2.5</v>
      </c>
      <c r="F10" s="15" t="n">
        <v>4</v>
      </c>
      <c r="G10" s="15" t="n">
        <v>3</v>
      </c>
      <c r="H10" s="15" t="n">
        <v>3.5</v>
      </c>
      <c r="I10" s="16">
        <f>D10*$C10/5</f>
        <v/>
      </c>
      <c r="J10" s="16">
        <f>E10*$C10/5</f>
        <v/>
      </c>
      <c r="K10" s="16">
        <f>F10*$C10/5</f>
        <v/>
      </c>
      <c r="L10" s="16">
        <f>G10*$C10/5</f>
        <v/>
      </c>
      <c r="M10" s="16">
        <f>H10*$C10/5</f>
        <v/>
      </c>
      <c r="N10" s="17">
        <f>MAX(D10:H10)</f>
        <v/>
      </c>
    </row>
    <row r="11">
      <c r="A11" s="14" t="inlineStr">
        <is>
          <t>09</t>
        </is>
      </c>
      <c r="B11" s="14" t="inlineStr">
        <is>
          <t>Operating model, support and lifecycle</t>
        </is>
      </c>
      <c r="C11" s="14" t="n">
        <v>9.35</v>
      </c>
      <c r="D11" s="15" t="n">
        <v>4</v>
      </c>
      <c r="E11" s="15" t="n">
        <v>3</v>
      </c>
      <c r="F11" s="15" t="n">
        <v>2</v>
      </c>
      <c r="G11" s="15" t="n">
        <v>2</v>
      </c>
      <c r="H11" s="15" t="n">
        <v>1.5</v>
      </c>
      <c r="I11" s="16">
        <f>D11*$C11/5</f>
        <v/>
      </c>
      <c r="J11" s="16">
        <f>E11*$C11/5</f>
        <v/>
      </c>
      <c r="K11" s="16">
        <f>F11*$C11/5</f>
        <v/>
      </c>
      <c r="L11" s="16">
        <f>G11*$C11/5</f>
        <v/>
      </c>
      <c r="M11" s="16">
        <f>H11*$C11/5</f>
        <v/>
      </c>
      <c r="N11" s="17">
        <f>MAX(D11:H11)</f>
        <v/>
      </c>
    </row>
    <row r="12">
      <c r="A12" s="14" t="inlineStr">
        <is>
          <t>10</t>
        </is>
      </c>
      <c r="B12" s="14" t="inlineStr">
        <is>
          <t>Five-year cost and exit effort</t>
        </is>
      </c>
      <c r="C12" s="14" t="n">
        <v>8.5</v>
      </c>
      <c r="D12" s="15" t="inlineStr">
        <is>
          <t>unassessed</t>
        </is>
      </c>
      <c r="E12" s="15" t="inlineStr">
        <is>
          <t>unassessed</t>
        </is>
      </c>
      <c r="F12" s="15" t="inlineStr">
        <is>
          <t>unassessed</t>
        </is>
      </c>
      <c r="G12" s="15" t="inlineStr">
        <is>
          <t>unassessed</t>
        </is>
      </c>
      <c r="H12" s="15" t="inlineStr">
        <is>
          <t>unassessed</t>
        </is>
      </c>
      <c r="I12" s="15" t="inlineStr">
        <is>
          <t>excluded</t>
        </is>
      </c>
      <c r="J12" s="15" t="inlineStr">
        <is>
          <t>excluded</t>
        </is>
      </c>
      <c r="K12" s="15" t="inlineStr">
        <is>
          <t>excluded</t>
        </is>
      </c>
      <c r="L12" s="15" t="inlineStr">
        <is>
          <t>excluded</t>
        </is>
      </c>
      <c r="M12" s="15" t="inlineStr">
        <is>
          <t>excluded</t>
        </is>
      </c>
      <c r="N12" s="17">
        <f>MAX(D12:H12)</f>
        <v/>
      </c>
    </row>
    <row r="13">
      <c r="A13" s="14" t="inlineStr">
        <is>
          <t>12</t>
        </is>
      </c>
      <c r="B13" s="14" t="inlineStr">
        <is>
          <t>AI integration (local only)</t>
        </is>
      </c>
      <c r="C13" s="14" t="n">
        <v>8</v>
      </c>
      <c r="D13" s="15" t="n">
        <v>2</v>
      </c>
      <c r="E13" s="15" t="n">
        <v>2</v>
      </c>
      <c r="F13" s="15" t="n">
        <v>3</v>
      </c>
      <c r="G13" s="15" t="n">
        <v>3</v>
      </c>
      <c r="H13" s="15" t="n">
        <v>3</v>
      </c>
      <c r="I13" s="16">
        <f>D13*$C13/5</f>
        <v/>
      </c>
      <c r="J13" s="16">
        <f>E13*$C13/5</f>
        <v/>
      </c>
      <c r="K13" s="16">
        <f>F13*$C13/5</f>
        <v/>
      </c>
      <c r="L13" s="16">
        <f>G13*$C13/5</f>
        <v/>
      </c>
      <c r="M13" s="16">
        <f>H13*$C13/5</f>
        <v/>
      </c>
      <c r="N13" s="17">
        <f>MAX(D13:H13)</f>
        <v/>
      </c>
    </row>
    <row r="14">
      <c r="A14" s="14" t="inlineStr">
        <is>
          <t>13</t>
        </is>
      </c>
      <c r="B14" s="14" t="inlineStr">
        <is>
          <t>Open-source licensing and flexibility</t>
        </is>
      </c>
      <c r="C14" s="14" t="n">
        <v>7</v>
      </c>
      <c r="D14" s="15" t="n">
        <v>2</v>
      </c>
      <c r="E14" s="15" t="n">
        <v>2</v>
      </c>
      <c r="F14" s="15" t="n">
        <v>4</v>
      </c>
      <c r="G14" s="15" t="n">
        <v>3</v>
      </c>
      <c r="H14" s="15" t="n">
        <v>4</v>
      </c>
      <c r="I14" s="16">
        <f>D14*$C14/5</f>
        <v/>
      </c>
      <c r="J14" s="16">
        <f>E14*$C14/5</f>
        <v/>
      </c>
      <c r="K14" s="16">
        <f>F14*$C14/5</f>
        <v/>
      </c>
      <c r="L14" s="16">
        <f>G14*$C14/5</f>
        <v/>
      </c>
      <c r="M14" s="16">
        <f>H14*$C14/5</f>
        <v/>
      </c>
      <c r="N14" s="17">
        <f>MAX(D14:H14)</f>
        <v/>
      </c>
    </row>
    <row r="15">
      <c r="A15" s="14" t="n"/>
      <c r="B15" s="18" t="inlineStr">
        <is>
          <t>Total weight</t>
        </is>
      </c>
      <c r="C15" s="19">
        <f>SUM(C5:C14)</f>
        <v/>
      </c>
      <c r="D15" s="14" t="n"/>
      <c r="E15" s="14" t="n"/>
      <c r="F15" s="14" t="n"/>
      <c r="G15" s="14" t="n"/>
      <c r="H15" s="14" t="n"/>
      <c r="I15" s="14" t="n"/>
      <c r="J15" s="14" t="n"/>
      <c r="K15" s="14" t="n"/>
      <c r="L15" s="14" t="n"/>
      <c r="M15" s="14" t="n"/>
    </row>
    <row r="16">
      <c r="A16" s="14" t="n"/>
      <c r="B16" s="18" t="inlineStr">
        <is>
          <t>Assessed weight (cost excluded)</t>
        </is>
      </c>
      <c r="C16" s="19">
        <f>SUMIF(D5:D14,"&lt;&gt;unassessed",C5:C14)</f>
        <v/>
      </c>
      <c r="D16" s="14" t="n"/>
      <c r="E16" s="14" t="n"/>
      <c r="F16" s="14" t="n"/>
      <c r="G16" s="14" t="n"/>
      <c r="H16" s="14" t="n"/>
      <c r="I16" s="14" t="n"/>
      <c r="J16" s="14" t="n"/>
      <c r="K16" s="14" t="n"/>
      <c r="L16" s="14" t="n"/>
      <c r="M16" s="14" t="n"/>
    </row>
    <row r="17">
      <c r="A17" s="14" t="n"/>
      <c r="B17" s="18" t="inlineStr">
        <is>
          <t>Points earned / assessed weight</t>
        </is>
      </c>
      <c r="C17" s="14" t="n"/>
      <c r="D17" s="14" t="n"/>
      <c r="E17" s="14" t="n"/>
      <c r="F17" s="14" t="n"/>
      <c r="G17" s="14" t="n"/>
      <c r="H17" s="14" t="n"/>
      <c r="I17" s="20">
        <f>SUM(I5:I14)</f>
        <v/>
      </c>
      <c r="J17" s="20">
        <f>SUM(J5:J14)</f>
        <v/>
      </c>
      <c r="K17" s="20">
        <f>SUM(K5:K14)</f>
        <v/>
      </c>
      <c r="L17" s="20">
        <f>SUM(L5:L14)</f>
        <v/>
      </c>
      <c r="M17" s="20">
        <f>SUM(M5:M14)</f>
        <v/>
      </c>
    </row>
    <row r="18">
      <c r="A18" s="14" t="n"/>
      <c r="B18" s="18" t="inlineStr">
        <is>
          <t>Provisional fit / 100 (rescaled)</t>
        </is>
      </c>
      <c r="C18" s="14" t="n"/>
      <c r="D18" s="14" t="n"/>
      <c r="E18" s="14" t="n"/>
      <c r="F18" s="14" t="n"/>
      <c r="G18" s="14" t="n"/>
      <c r="H18" s="14" t="n"/>
      <c r="I18" s="20">
        <f>I17/$C$16*100</f>
        <v/>
      </c>
      <c r="J18" s="20">
        <f>J17/$C$16*100</f>
        <v/>
      </c>
      <c r="K18" s="20">
        <f>K17/$C$16*100</f>
        <v/>
      </c>
      <c r="L18" s="20">
        <f>L17/$C$16*100</f>
        <v/>
      </c>
      <c r="M18" s="20">
        <f>M17/$C$16*100</f>
        <v/>
      </c>
    </row>
    <row r="19">
      <c r="A19" s="14" t="n"/>
      <c r="B19" s="18" t="inlineStr">
        <is>
          <t>Rank (provisional)</t>
        </is>
      </c>
      <c r="C19" s="14" t="n"/>
      <c r="D19" s="14" t="n"/>
      <c r="E19" s="14" t="n"/>
      <c r="F19" s="14" t="n"/>
      <c r="G19" s="14" t="n"/>
      <c r="H19" s="14" t="n"/>
      <c r="I19" s="15">
        <f>RANK(I18,$I$18:$M$18)</f>
        <v/>
      </c>
      <c r="J19" s="15">
        <f>RANK(J18,$I$18:$M$18)</f>
        <v/>
      </c>
      <c r="K19" s="15">
        <f>RANK(K18,$I$18:$M$18)</f>
        <v/>
      </c>
      <c r="L19" s="15">
        <f>RANK(L18,$I$18:$M$18)</f>
        <v/>
      </c>
      <c r="M19" s="15">
        <f>RANK(M18,$I$18:$M$18)</f>
        <v/>
      </c>
    </row>
    <row r="20">
      <c r="A20" s="14" t="n"/>
      <c r="B20" s="18" t="inlineStr">
        <is>
          <t>Criteria led or tied for lead (of 9)</t>
        </is>
      </c>
      <c r="C20" s="14" t="n"/>
      <c r="D20" s="14" t="n"/>
      <c r="E20" s="14" t="n"/>
      <c r="F20" s="14" t="n"/>
      <c r="G20" s="14" t="n"/>
      <c r="H20" s="14" t="n"/>
      <c r="I20" s="15">
        <f>SUMPRODUCT(--(ISNUMBER(D5:D14)),--(D5:D14=$N5:$N14))</f>
        <v/>
      </c>
      <c r="J20" s="15">
        <f>SUMPRODUCT(--(ISNUMBER(E5:E14)),--(E5:E14=$N5:$N14))</f>
        <v/>
      </c>
      <c r="K20" s="15">
        <f>SUMPRODUCT(--(ISNUMBER(F5:F14)),--(F5:F14=$N5:$N14))</f>
        <v/>
      </c>
      <c r="L20" s="15">
        <f>SUMPRODUCT(--(ISNUMBER(G5:G14)),--(G5:G14=$N5:$N14))</f>
        <v/>
      </c>
      <c r="M20" s="15">
        <f>SUMPRODUCT(--(ISNUMBER(H5:H14)),--(H5:H14=$N5:$N14))</f>
        <v/>
      </c>
    </row>
    <row r="22" ht="32" customHeight="1">
      <c r="A22" s="5" t="inlineStr">
        <is>
          <t>Reading: ODI leads or ties on five of nine criteria; dbt is strongest on development discipline and openness; Cloudera only leads on security/metadata; PowerCenter and Spark lead nothing outright. Cost can reorder PowerCenter vs dbt (see A1).</t>
        </is>
      </c>
    </row>
  </sheetData>
  <mergeCells count="2">
    <mergeCell ref="A2:M2"/>
    <mergeCell ref="A22:M22"/>
  </mergeCells>
  <conditionalFormatting sqref="D5:H14">
    <cfRule type="expression" priority="1" dxfId="0">
      <formula>AND(ISNUMBER(D5),D5&gt;=4)</formula>
    </cfRule>
    <cfRule type="expression" priority="2" dxfId="1">
      <formula>AND(ISNUMBER(D5),D5&gt;=3,D5&lt;4)</formula>
    </cfRule>
    <cfRule type="expression" priority="3" dxfId="2">
      <formula>AND(ISNUMBER(D5),D5&lt;3)</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6" customWidth="1" min="1" max="1"/>
    <col width="18" customWidth="1" min="2" max="2"/>
    <col width="14" customWidth="1" min="3" max="3"/>
    <col width="14" customWidth="1" min="4" max="4"/>
    <col width="28" customWidth="1" min="5" max="5"/>
    <col width="80" customWidth="1" min="6" max="6"/>
  </cols>
  <sheetData>
    <row r="1">
      <c r="A1" s="1" t="inlineStr">
        <is>
          <t>Matrix A.1 — Cost sensitivity</t>
        </is>
      </c>
    </row>
    <row r="2" ht="32" customHeight="1">
      <c r="A2" s="2" t="inlineStr">
        <is>
          <t>Full weighted score = points earned + 1.7 × cost rating (cost weight 8.5 ÷ 5). The table shows how much better a challenger's cost rating must be than ODI's for the order to flip. Points are linked to sheet A.</t>
        </is>
      </c>
    </row>
    <row r="4">
      <c r="A4" s="3" t="inlineStr">
        <is>
          <t>Pair</t>
        </is>
      </c>
      <c r="B4" s="3" t="inlineStr">
        <is>
          <t>Challenger points</t>
        </is>
      </c>
      <c r="C4" s="3" t="inlineStr">
        <is>
          <t>ODI points</t>
        </is>
      </c>
      <c r="D4" s="3" t="inlineStr">
        <is>
          <t>Gap in points</t>
        </is>
      </c>
      <c r="E4" s="3" t="inlineStr">
        <is>
          <t>Cost-rating advantage needed</t>
        </is>
      </c>
      <c r="F4" s="3" t="inlineStr">
        <is>
          <t>Reading</t>
        </is>
      </c>
    </row>
    <row r="5">
      <c r="A5" s="14" t="inlineStr">
        <is>
          <t>PC vs ODI</t>
        </is>
      </c>
      <c r="B5" s="21">
        <f>'A Scorecard'!J17</f>
        <v/>
      </c>
      <c r="C5" s="21">
        <f>'A Scorecard'!I17</f>
        <v/>
      </c>
      <c r="D5" s="21">
        <f>C5-B5</f>
        <v/>
      </c>
      <c r="E5" s="14">
        <f>IF(D5/1.7&gt;5,"&gt; 5 (unreachable)",TEXT(D5/1.7,"0.0")&amp;" of 5")</f>
        <v/>
      </c>
      <c r="F5" s="14" t="inlineStr">
        <is>
          <t>Only if ODI prices near-unacceptably and PC near-free: unlikely</t>
        </is>
      </c>
    </row>
    <row r="6">
      <c r="A6" s="14" t="inlineStr">
        <is>
          <t>dbt vs ODI</t>
        </is>
      </c>
      <c r="B6" s="21">
        <f>'A Scorecard'!K17</f>
        <v/>
      </c>
      <c r="C6" s="21">
        <f>'A Scorecard'!I17</f>
        <v/>
      </c>
      <c r="D6" s="21">
        <f>C6-B6</f>
        <v/>
      </c>
      <c r="E6" s="14">
        <f>IF(D6/1.7&gt;5,"&gt; 5 (unreachable)",TEXT(D6/1.7,"0.0")&amp;" of 5")</f>
        <v/>
      </c>
      <c r="F6" s="14" t="inlineStr">
        <is>
          <t>Zero licence fee alone does not close the gap; people and surrounding components count</t>
        </is>
      </c>
    </row>
    <row r="7">
      <c r="A7" s="14" t="inlineStr">
        <is>
          <t>CDP vs ODI</t>
        </is>
      </c>
      <c r="B7" s="21">
        <f>'A Scorecard'!L17</f>
        <v/>
      </c>
      <c r="C7" s="21">
        <f>'A Scorecard'!I17</f>
        <v/>
      </c>
      <c r="D7" s="21">
        <f>C7-B7</f>
        <v/>
      </c>
      <c r="E7" s="14">
        <f>IF(D7/1.7&gt;5,"&gt; 5 (unreachable)",TEXT(D7/1.7,"0.0")&amp;" of 5")</f>
        <v/>
      </c>
      <c r="F7" s="14" t="inlineStr">
        <is>
          <t>Not reachable through cost (needs more than the 5-point scale allows)</t>
        </is>
      </c>
    </row>
    <row r="8">
      <c r="A8" s="14" t="inlineStr">
        <is>
          <t>Spark vs ODI</t>
        </is>
      </c>
      <c r="B8" s="21">
        <f>'A Scorecard'!M17</f>
        <v/>
      </c>
      <c r="C8" s="21">
        <f>'A Scorecard'!I17</f>
        <v/>
      </c>
      <c r="D8" s="21">
        <f>C8-B8</f>
        <v/>
      </c>
      <c r="E8" s="14">
        <f>IF(D8/1.7&gt;5,"&gt; 5 (unreachable)",TEXT(D8/1.7,"0.0")&amp;" of 5")</f>
        <v/>
      </c>
      <c r="F8" s="14" t="inlineStr">
        <is>
          <t>Not reachable through cost</t>
        </is>
      </c>
    </row>
    <row r="9">
      <c r="A9" s="14" t="inlineStr">
        <is>
          <t>dbt vs PC</t>
        </is>
      </c>
      <c r="B9" s="21">
        <f>'A Scorecard'!K17</f>
        <v/>
      </c>
      <c r="C9" s="21">
        <f>'A Scorecard'!J17</f>
        <v/>
      </c>
      <c r="D9" s="21">
        <f>C9-B9</f>
        <v/>
      </c>
      <c r="E9" s="14">
        <f>TEXT(D9/1.7,"0.0")&amp;" of 5"</f>
        <v/>
      </c>
      <c r="F9" s="14" t="inlineStr">
        <is>
          <t>Cost decides this pair; dbt likely overtakes PC once quotes exist</t>
        </is>
      </c>
    </row>
    <row r="11" ht="32" customHeight="1">
      <c r="A11" s="5" t="inlineStr">
        <is>
          <t>Conclusion: cost can reorder the challengers but does not realistically dislodge the lead on desk ratings. PoC evidence (which can move 05, 06 and 09 by whole points) matters more than price for the top spot.</t>
        </is>
      </c>
    </row>
  </sheetData>
  <mergeCells count="2">
    <mergeCell ref="A2:E2"/>
    <mergeCell ref="A11:F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22" customWidth="1" min="7" max="7"/>
  </cols>
  <sheetData>
    <row r="1">
      <c r="A1" s="1" t="inlineStr">
        <is>
          <t>Matrix B — Mandatory gates</t>
        </is>
      </c>
    </row>
    <row r="2">
      <c r="A2" s="2" t="inlineStr">
        <is>
          <t>Pass / fail, outside the score. A single Fail excludes the candidate. All cells are Pending until bank-side tests exist.</t>
        </is>
      </c>
    </row>
    <row r="4">
      <c r="A4" s="3" t="inlineStr">
        <is>
          <t>Gate</t>
        </is>
      </c>
      <c r="B4" s="3" t="inlineStr">
        <is>
          <t>Oracle ODI</t>
        </is>
      </c>
      <c r="C4" s="3" t="inlineStr">
        <is>
          <t>Informatica PowerCenter</t>
        </is>
      </c>
      <c r="D4" s="3" t="inlineStr">
        <is>
          <t>dbt Core v1 + Oracle</t>
        </is>
      </c>
      <c r="E4" s="3" t="inlineStr">
        <is>
          <t>Cloudera (on premises)</t>
        </is>
      </c>
      <c r="F4" s="3" t="inlineStr">
        <is>
          <t>Apache Spark (on premises)</t>
        </is>
      </c>
      <c r="G4" s="3" t="inlineStr">
        <is>
          <t>Decisive evidence (P-test)</t>
        </is>
      </c>
    </row>
    <row r="5" ht="75" customHeight="1">
      <c r="A5" s="18" t="inlineStr">
        <is>
          <t>Fully on-premises operation</t>
        </is>
      </c>
      <c r="B5" s="14" t="inlineStr">
        <is>
          <t>Pending</t>
        </is>
      </c>
      <c r="C5" s="14" t="inlineStr">
        <is>
          <t>Pending — CDI-PC / IDMC control plane fails this gate; only a fully local PowerCenter offer is evaluable</t>
        </is>
      </c>
      <c r="D5" s="14" t="inlineStr">
        <is>
          <t>Pending — telemetry off, package mirror, no cloud MCP tools</t>
        </is>
      </c>
      <c r="E5" s="14" t="inlineStr">
        <is>
          <t>Pending — every optional service must be inspected, not just Base</t>
        </is>
      </c>
      <c r="F5" s="14" t="inlineStr">
        <is>
          <t>Pending — every surrounding component must be inspected</t>
        </is>
      </c>
      <c r="G5" s="14" t="inlineStr">
        <is>
          <t>P01</t>
        </is>
      </c>
    </row>
    <row r="6" ht="75" customHeight="1">
      <c r="A6" s="18" t="inlineStr">
        <is>
          <t>Security, support and operating acceptance</t>
        </is>
      </c>
      <c r="B6" s="14" t="inlineStr">
        <is>
          <t>Pending — exact-release support, DBA/ETL responsibility split</t>
        </is>
      </c>
      <c r="C6" s="14" t="inlineStr">
        <is>
          <t>Pending — written local-product roadmap and support horizon</t>
        </is>
      </c>
      <c r="D6" s="14" t="inlineStr">
        <is>
          <t>Pending — Oracle-maintained adapter is not an incident SLA; support route required</t>
        </is>
      </c>
      <c r="E6" s="14" t="inlineStr">
        <is>
          <t>Pending — cluster team and on-call must exist</t>
        </is>
      </c>
      <c r="F6" s="14" t="inlineStr">
        <is>
          <t>Pending — bank or provider must own every component</t>
        </is>
      </c>
      <c r="G6" s="14" t="inlineStr">
        <is>
          <t>P11, P12</t>
        </is>
      </c>
    </row>
    <row r="7" ht="75" customHeight="1">
      <c r="A7" s="18" t="inlineStr">
        <is>
          <t>Correctness, deadlines and recovery tests</t>
        </is>
      </c>
      <c r="B7" s="14" t="inlineStr">
        <is>
          <t>Pending — restart after partial commit</t>
        </is>
      </c>
      <c r="C7" s="14" t="inlineStr">
        <is>
          <t>Pending — full pushdown changes reject/recovery behaviour</t>
        </is>
      </c>
      <c r="D7" s="14" t="inlineStr">
        <is>
          <t>Pending — ingestion + tests + publication, not only dbt run</t>
        </is>
      </c>
      <c r="E7" s="14" t="inlineStr">
        <is>
          <t>Pending — cluster → Oracle handoff</t>
        </is>
      </c>
      <c r="F7" s="14" t="inlineStr">
        <is>
          <t>Pending — at-least-once sinks must not duplicate publication</t>
        </is>
      </c>
      <c r="G7" s="14" t="inlineStr">
        <is>
          <t>P04–P07, P09</t>
        </is>
      </c>
    </row>
  </sheetData>
  <mergeCells count="1">
    <mergeCell ref="A2:G2"/>
  </mergeCells>
  <conditionalFormatting sqref="B5:F7">
    <cfRule type="expression" priority="1" dxfId="3">
      <formula>LEFT(B5,7)="Pending"</formula>
    </cfRule>
    <cfRule type="expression" priority="2" dxfId="0">
      <formula>LEFT(B5,4)="Pass"</formula>
    </cfRule>
    <cfRule type="expression" priority="3" dxfId="4">
      <formula>LEFT(B5,4)="Fail"</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34" customWidth="1" min="3" max="3"/>
    <col width="14" customWidth="1" min="4" max="4"/>
    <col width="14" customWidth="1" min="5" max="5"/>
    <col width="14" customWidth="1" min="6" max="6"/>
    <col width="14" customWidth="1" min="7" max="7"/>
    <col width="14" customWidth="1" min="8" max="8"/>
  </cols>
  <sheetData>
    <row r="1">
      <c r="A1" s="1" t="inlineStr">
        <is>
          <t>Matrix C — Capability matrix F01–F36</t>
        </is>
      </c>
    </row>
    <row r="2" ht="32" customHeight="1">
      <c r="A2" s="2" t="inlineStr">
        <is>
          <t>Labels copied from the workbook feature grid (section 11 of ETL-Tool-Comparison.xlsx). Evidence for the ratings, not a score; feature counts are never added to Matrix A.</t>
        </is>
      </c>
    </row>
    <row r="4">
      <c r="A4" s="3" t="inlineStr">
        <is>
          <t>#</t>
        </is>
      </c>
      <c r="B4" s="3" t="inlineStr">
        <is>
          <t>Feature</t>
        </is>
      </c>
      <c r="C4" s="3" t="inlineStr">
        <is>
          <t>Group</t>
        </is>
      </c>
      <c r="D4" s="3" t="inlineStr">
        <is>
          <t>ODI</t>
        </is>
      </c>
      <c r="E4" s="3" t="inlineStr">
        <is>
          <t>PC</t>
        </is>
      </c>
      <c r="F4" s="3" t="inlineStr">
        <is>
          <t>dbt</t>
        </is>
      </c>
      <c r="G4" s="3" t="inlineStr">
        <is>
          <t>CDP</t>
        </is>
      </c>
      <c r="H4" s="3" t="inlineStr">
        <is>
          <t>Spark</t>
        </is>
      </c>
    </row>
    <row r="5">
      <c r="A5" s="14" t="inlineStr">
        <is>
          <t>F01</t>
        </is>
      </c>
      <c r="B5" s="14" t="inlineStr">
        <is>
          <t>Oracle read / write</t>
        </is>
      </c>
      <c r="C5" s="14" t="inlineStr">
        <is>
          <t>Connectivity and ingestion (03)</t>
        </is>
      </c>
      <c r="D5" s="15" t="inlineStr">
        <is>
          <t>Built-in</t>
        </is>
      </c>
      <c r="E5" s="15" t="inlineStr">
        <is>
          <t>Built-in</t>
        </is>
      </c>
      <c r="F5" s="15" t="inlineStr">
        <is>
          <t>Limited</t>
        </is>
      </c>
      <c r="G5" s="15" t="inlineStr">
        <is>
          <t>Built-in</t>
        </is>
      </c>
      <c r="H5" s="15" t="inlineStr">
        <is>
          <t>Built-in</t>
        </is>
      </c>
    </row>
    <row r="6">
      <c r="A6" s="14" t="inlineStr">
        <is>
          <t>F02</t>
        </is>
      </c>
      <c r="B6" s="14" t="inlineStr">
        <is>
          <t>Other relational sources</t>
        </is>
      </c>
      <c r="C6" s="14" t="inlineStr">
        <is>
          <t>Connectivity and ingestion (03)</t>
        </is>
      </c>
      <c r="D6" s="15" t="inlineStr">
        <is>
          <t>Built-in</t>
        </is>
      </c>
      <c r="E6" s="15" t="inlineStr">
        <is>
          <t>Built-in</t>
        </is>
      </c>
      <c r="F6" s="15" t="inlineStr">
        <is>
          <t>Add-on</t>
        </is>
      </c>
      <c r="G6" s="15" t="inlineStr">
        <is>
          <t>Built-in</t>
        </is>
      </c>
      <c r="H6" s="15" t="inlineStr">
        <is>
          <t>Built-in</t>
        </is>
      </c>
    </row>
    <row r="7">
      <c r="A7" s="14" t="inlineStr">
        <is>
          <t>F03</t>
        </is>
      </c>
      <c r="B7" s="14" t="inlineStr">
        <is>
          <t>File ingestion</t>
        </is>
      </c>
      <c r="C7" s="14" t="inlineStr">
        <is>
          <t>Connectivity and ingestion (03)</t>
        </is>
      </c>
      <c r="D7" s="15" t="inlineStr">
        <is>
          <t>Built-in</t>
        </is>
      </c>
      <c r="E7" s="15" t="inlineStr">
        <is>
          <t>Built-in</t>
        </is>
      </c>
      <c r="F7" s="15" t="inlineStr">
        <is>
          <t>Limited</t>
        </is>
      </c>
      <c r="G7" s="15" t="inlineStr">
        <is>
          <t>Built-in</t>
        </is>
      </c>
      <c r="H7" s="15" t="inlineStr">
        <is>
          <t>Built-in</t>
        </is>
      </c>
    </row>
    <row r="8">
      <c r="A8" s="14" t="inlineStr">
        <is>
          <t>F04</t>
        </is>
      </c>
      <c r="B8" s="14" t="inlineStr">
        <is>
          <t>REST / API ingestion</t>
        </is>
      </c>
      <c r="C8" s="14" t="inlineStr">
        <is>
          <t>Connectivity and ingestion (03)</t>
        </is>
      </c>
      <c r="D8" s="15" t="inlineStr">
        <is>
          <t>Implement</t>
        </is>
      </c>
      <c r="E8" s="15" t="inlineStr">
        <is>
          <t>Validate</t>
        </is>
      </c>
      <c r="F8" s="15" t="inlineStr">
        <is>
          <t>Add-on</t>
        </is>
      </c>
      <c r="G8" s="15" t="inlineStr">
        <is>
          <t>Add-on</t>
        </is>
      </c>
      <c r="H8" s="15" t="inlineStr">
        <is>
          <t>Implement</t>
        </is>
      </c>
    </row>
    <row r="9">
      <c r="A9" s="14" t="inlineStr">
        <is>
          <t>F05</t>
        </is>
      </c>
      <c r="B9" s="14" t="inlineStr">
        <is>
          <t>Oracle redo-log CDC</t>
        </is>
      </c>
      <c r="C9" s="14" t="inlineStr">
        <is>
          <t>Connectivity and ingestion (03)</t>
        </is>
      </c>
      <c r="D9" s="15" t="inlineStr">
        <is>
          <t>Add-on</t>
        </is>
      </c>
      <c r="E9" s="15" t="inlineStr">
        <is>
          <t>Add-on</t>
        </is>
      </c>
      <c r="F9" s="15" t="inlineStr">
        <is>
          <t>Add-on</t>
        </is>
      </c>
      <c r="G9" s="15" t="inlineStr">
        <is>
          <t>Add-on</t>
        </is>
      </c>
      <c r="H9" s="15" t="inlineStr">
        <is>
          <t>Add-on</t>
        </is>
      </c>
    </row>
    <row r="10">
      <c r="A10" s="14" t="inlineStr">
        <is>
          <t>F06</t>
        </is>
      </c>
      <c r="B10" s="14" t="inlineStr">
        <is>
          <t>Visual mapping designer</t>
        </is>
      </c>
      <c r="C10" s="14" t="inlineStr">
        <is>
          <t>Transformation (04; history under 05)</t>
        </is>
      </c>
      <c r="D10" s="15" t="inlineStr">
        <is>
          <t>Built-in</t>
        </is>
      </c>
      <c r="E10" s="15" t="inlineStr">
        <is>
          <t>Built-in</t>
        </is>
      </c>
      <c r="F10" s="15" t="inlineStr">
        <is>
          <t>Out of scope</t>
        </is>
      </c>
      <c r="G10" s="15" t="inlineStr">
        <is>
          <t>Add-on</t>
        </is>
      </c>
      <c r="H10" s="15" t="inlineStr">
        <is>
          <t>Out of scope</t>
        </is>
      </c>
    </row>
    <row r="11">
      <c r="A11" s="14" t="inlineStr">
        <is>
          <t>F07</t>
        </is>
      </c>
      <c r="B11" s="14" t="inlineStr">
        <is>
          <t>Exadata SQL execution (pushdown)</t>
        </is>
      </c>
      <c r="C11" s="14" t="inlineStr">
        <is>
          <t>Transformation (04; history under 05)</t>
        </is>
      </c>
      <c r="D11" s="15" t="inlineStr">
        <is>
          <t>Built-in</t>
        </is>
      </c>
      <c r="E11" s="15" t="inlineStr">
        <is>
          <t>Built-in</t>
        </is>
      </c>
      <c r="F11" s="15" t="inlineStr">
        <is>
          <t>Built-in</t>
        </is>
      </c>
      <c r="G11" s="15" t="inlineStr">
        <is>
          <t>Limited</t>
        </is>
      </c>
      <c r="H11" s="15" t="inlineStr">
        <is>
          <t>Limited</t>
        </is>
      </c>
    </row>
    <row r="12">
      <c r="A12" s="14" t="inlineStr">
        <is>
          <t>F08</t>
        </is>
      </c>
      <c r="B12" s="14" t="inlineStr">
        <is>
          <t>Distributed processing</t>
        </is>
      </c>
      <c r="C12" s="14" t="inlineStr">
        <is>
          <t>Transformation (04; history under 05)</t>
        </is>
      </c>
      <c r="D12" s="15" t="inlineStr">
        <is>
          <t>Limited</t>
        </is>
      </c>
      <c r="E12" s="15" t="inlineStr">
        <is>
          <t>Limited</t>
        </is>
      </c>
      <c r="F12" s="15" t="inlineStr">
        <is>
          <t>Limited</t>
        </is>
      </c>
      <c r="G12" s="15" t="inlineStr">
        <is>
          <t>Built-in</t>
        </is>
      </c>
      <c r="H12" s="15" t="inlineStr">
        <is>
          <t>Built-in</t>
        </is>
      </c>
    </row>
    <row r="13">
      <c r="A13" s="14" t="inlineStr">
        <is>
          <t>F09</t>
        </is>
      </c>
      <c r="B13" s="14" t="inlineStr">
        <is>
          <t>Incremental upserts</t>
        </is>
      </c>
      <c r="C13" s="14" t="inlineStr">
        <is>
          <t>Transformation (04; history under 05)</t>
        </is>
      </c>
      <c r="D13" s="15" t="inlineStr">
        <is>
          <t>Built-in</t>
        </is>
      </c>
      <c r="E13" s="15" t="inlineStr">
        <is>
          <t>Built-in</t>
        </is>
      </c>
      <c r="F13" s="15" t="inlineStr">
        <is>
          <t>Built-in</t>
        </is>
      </c>
      <c r="G13" s="15" t="inlineStr">
        <is>
          <t>Implement</t>
        </is>
      </c>
      <c r="H13" s="15" t="inlineStr">
        <is>
          <t>Implement</t>
        </is>
      </c>
    </row>
    <row r="14">
      <c r="A14" s="14" t="inlineStr">
        <is>
          <t>F10</t>
        </is>
      </c>
      <c r="B14" s="14" t="inlineStr">
        <is>
          <t>SCD type 2 history</t>
        </is>
      </c>
      <c r="C14" s="14" t="inlineStr">
        <is>
          <t>Transformation (04; history under 05)</t>
        </is>
      </c>
      <c r="D14" s="15" t="inlineStr">
        <is>
          <t>Built-in</t>
        </is>
      </c>
      <c r="E14" s="15" t="inlineStr">
        <is>
          <t>Built-in</t>
        </is>
      </c>
      <c r="F14" s="15" t="inlineStr">
        <is>
          <t>Validate</t>
        </is>
      </c>
      <c r="G14" s="15" t="inlineStr">
        <is>
          <t>Implement</t>
        </is>
      </c>
      <c r="H14" s="15" t="inlineStr">
        <is>
          <t>Implement</t>
        </is>
      </c>
    </row>
    <row r="15">
      <c r="A15" s="14" t="inlineStr">
        <is>
          <t>F11</t>
        </is>
      </c>
      <c r="B15" s="14" t="inlineStr">
        <is>
          <t>Data quality rules</t>
        </is>
      </c>
      <c r="C15" s="14" t="inlineStr">
        <is>
          <t>Data correctness (05)</t>
        </is>
      </c>
      <c r="D15" s="15" t="inlineStr">
        <is>
          <t>Built-in</t>
        </is>
      </c>
      <c r="E15" s="15" t="inlineStr">
        <is>
          <t>Implement</t>
        </is>
      </c>
      <c r="F15" s="15" t="inlineStr">
        <is>
          <t>Built-in</t>
        </is>
      </c>
      <c r="G15" s="15" t="inlineStr">
        <is>
          <t>Implement</t>
        </is>
      </c>
      <c r="H15" s="15" t="inlineStr">
        <is>
          <t>Implement</t>
        </is>
      </c>
    </row>
    <row r="16">
      <c r="A16" s="14" t="inlineStr">
        <is>
          <t>F12</t>
        </is>
      </c>
      <c r="B16" s="14" t="inlineStr">
        <is>
          <t>Reject quarantine</t>
        </is>
      </c>
      <c r="C16" s="14" t="inlineStr">
        <is>
          <t>Data correctness (05)</t>
        </is>
      </c>
      <c r="D16" s="15" t="inlineStr">
        <is>
          <t>Built-in</t>
        </is>
      </c>
      <c r="E16" s="15" t="inlineStr">
        <is>
          <t>Implement</t>
        </is>
      </c>
      <c r="F16" s="15" t="inlineStr">
        <is>
          <t>Limited</t>
        </is>
      </c>
      <c r="G16" s="15" t="inlineStr">
        <is>
          <t>Implement</t>
        </is>
      </c>
      <c r="H16" s="15" t="inlineStr">
        <is>
          <t>Implement</t>
        </is>
      </c>
    </row>
    <row r="17">
      <c r="A17" s="14" t="inlineStr">
        <is>
          <t>F13</t>
        </is>
      </c>
      <c r="B17" s="14" t="inlineStr">
        <is>
          <t>Financial reconciliation</t>
        </is>
      </c>
      <c r="C17" s="14" t="inlineStr">
        <is>
          <t>Data correctness (05)</t>
        </is>
      </c>
      <c r="D17" s="15" t="inlineStr">
        <is>
          <t>Implement</t>
        </is>
      </c>
      <c r="E17" s="15" t="inlineStr">
        <is>
          <t>Implement</t>
        </is>
      </c>
      <c r="F17" s="15" t="inlineStr">
        <is>
          <t>Implement</t>
        </is>
      </c>
      <c r="G17" s="15" t="inlineStr">
        <is>
          <t>Implement</t>
        </is>
      </c>
      <c r="H17" s="15" t="inlineStr">
        <is>
          <t>Implement</t>
        </is>
      </c>
    </row>
    <row r="18">
      <c r="A18" s="14" t="inlineStr">
        <is>
          <t>F14</t>
        </is>
      </c>
      <c r="B18" s="14" t="inlineStr">
        <is>
          <t>Schema changes</t>
        </is>
      </c>
      <c r="C18" s="14" t="inlineStr">
        <is>
          <t>Data correctness (05)</t>
        </is>
      </c>
      <c r="D18" s="15" t="inlineStr">
        <is>
          <t>Limited</t>
        </is>
      </c>
      <c r="E18" s="15" t="inlineStr">
        <is>
          <t>Limited</t>
        </is>
      </c>
      <c r="F18" s="15" t="inlineStr">
        <is>
          <t>Limited</t>
        </is>
      </c>
      <c r="G18" s="15" t="inlineStr">
        <is>
          <t>Limited</t>
        </is>
      </c>
      <c r="H18" s="15" t="inlineStr">
        <is>
          <t>Limited</t>
        </is>
      </c>
    </row>
    <row r="19">
      <c r="A19" s="14" t="inlineStr">
        <is>
          <t>F15</t>
        </is>
      </c>
      <c r="B19" s="14" t="inlineStr">
        <is>
          <t>Backfill / late corrections</t>
        </is>
      </c>
      <c r="C19" s="14" t="inlineStr">
        <is>
          <t>Data correctness (05)</t>
        </is>
      </c>
      <c r="D19" s="15" t="inlineStr">
        <is>
          <t>Implement</t>
        </is>
      </c>
      <c r="E19" s="15" t="inlineStr">
        <is>
          <t>Implement</t>
        </is>
      </c>
      <c r="F19" s="15" t="inlineStr">
        <is>
          <t>Implement</t>
        </is>
      </c>
      <c r="G19" s="15" t="inlineStr">
        <is>
          <t>Implement</t>
        </is>
      </c>
      <c r="H19" s="15" t="inlineStr">
        <is>
          <t>Implement</t>
        </is>
      </c>
    </row>
    <row r="20">
      <c r="A20" s="14" t="inlineStr">
        <is>
          <t>F16</t>
        </is>
      </c>
      <c r="B20" s="14" t="inlineStr">
        <is>
          <t>Dependency workflows</t>
        </is>
      </c>
      <c r="C20" s="14" t="inlineStr">
        <is>
          <t>Orchestration and reporting (06)</t>
        </is>
      </c>
      <c r="D20" s="15" t="inlineStr">
        <is>
          <t>Built-in</t>
        </is>
      </c>
      <c r="E20" s="15" t="inlineStr">
        <is>
          <t>Built-in</t>
        </is>
      </c>
      <c r="F20" s="15" t="inlineStr">
        <is>
          <t>Limited</t>
        </is>
      </c>
      <c r="G20" s="15" t="inlineStr">
        <is>
          <t>Add-on</t>
        </is>
      </c>
      <c r="H20" s="15" t="inlineStr">
        <is>
          <t>Add-on</t>
        </is>
      </c>
    </row>
    <row r="21">
      <c r="A21" s="14" t="inlineStr">
        <is>
          <t>F17</t>
        </is>
      </c>
      <c r="B21" s="14" t="inlineStr">
        <is>
          <t>Calendar / event triggers</t>
        </is>
      </c>
      <c r="C21" s="14" t="inlineStr">
        <is>
          <t>Orchestration and reporting (06)</t>
        </is>
      </c>
      <c r="D21" s="15" t="inlineStr">
        <is>
          <t>Limited</t>
        </is>
      </c>
      <c r="E21" s="15" t="inlineStr">
        <is>
          <t>Limited</t>
        </is>
      </c>
      <c r="F21" s="15" t="inlineStr">
        <is>
          <t>Add-on</t>
        </is>
      </c>
      <c r="G21" s="15" t="inlineStr">
        <is>
          <t>Add-on</t>
        </is>
      </c>
      <c r="H21" s="15" t="inlineStr">
        <is>
          <t>Add-on</t>
        </is>
      </c>
    </row>
    <row r="22">
      <c r="A22" s="14" t="inlineStr">
        <is>
          <t>F18</t>
        </is>
      </c>
      <c r="B22" s="14" t="inlineStr">
        <is>
          <t>Restart / checkpoint</t>
        </is>
      </c>
      <c r="C22" s="14" t="inlineStr">
        <is>
          <t>Orchestration and reporting (06)</t>
        </is>
      </c>
      <c r="D22" s="15" t="inlineStr">
        <is>
          <t>Built-in</t>
        </is>
      </c>
      <c r="E22" s="15" t="inlineStr">
        <is>
          <t>Built-in</t>
        </is>
      </c>
      <c r="F22" s="15" t="inlineStr">
        <is>
          <t>Implement</t>
        </is>
      </c>
      <c r="G22" s="15" t="inlineStr">
        <is>
          <t>Limited</t>
        </is>
      </c>
      <c r="H22" s="15" t="inlineStr">
        <is>
          <t>Limited</t>
        </is>
      </c>
    </row>
    <row r="23">
      <c r="A23" s="14" t="inlineStr">
        <is>
          <t>F19</t>
        </is>
      </c>
      <c r="B23" s="14" t="inlineStr">
        <is>
          <t>Stream processing</t>
        </is>
      </c>
      <c r="C23" s="14" t="inlineStr">
        <is>
          <t>Orchestration and reporting (06)</t>
        </is>
      </c>
      <c r="D23" s="15" t="inlineStr">
        <is>
          <t>Limited</t>
        </is>
      </c>
      <c r="E23" s="15" t="inlineStr">
        <is>
          <t>Limited</t>
        </is>
      </c>
      <c r="F23" s="15" t="inlineStr">
        <is>
          <t>Out of scope</t>
        </is>
      </c>
      <c r="G23" s="15" t="inlineStr">
        <is>
          <t>Built-in</t>
        </is>
      </c>
      <c r="H23" s="15" t="inlineStr">
        <is>
          <t>Built-in</t>
        </is>
      </c>
    </row>
    <row r="24">
      <c r="A24" s="14" t="inlineStr">
        <is>
          <t>F20</t>
        </is>
      </c>
      <c r="B24" s="14" t="inlineStr">
        <is>
          <t>Atomic report publication</t>
        </is>
      </c>
      <c r="C24" s="14" t="inlineStr">
        <is>
          <t>Orchestration and reporting (06)</t>
        </is>
      </c>
      <c r="D24" s="15" t="inlineStr">
        <is>
          <t>Implement</t>
        </is>
      </c>
      <c r="E24" s="15" t="inlineStr">
        <is>
          <t>Implement</t>
        </is>
      </c>
      <c r="F24" s="15" t="inlineStr">
        <is>
          <t>Implement</t>
        </is>
      </c>
      <c r="G24" s="15" t="inlineStr">
        <is>
          <t>Implement</t>
        </is>
      </c>
      <c r="H24" s="15" t="inlineStr">
        <is>
          <t>Implement</t>
        </is>
      </c>
    </row>
    <row r="25">
      <c r="A25" s="14" t="inlineStr">
        <is>
          <t>F21</t>
        </is>
      </c>
      <c r="B25" s="14" t="inlineStr">
        <is>
          <t>Role-based access</t>
        </is>
      </c>
      <c r="C25" s="14" t="inlineStr">
        <is>
          <t>Security and metadata (07)</t>
        </is>
      </c>
      <c r="D25" s="15" t="inlineStr">
        <is>
          <t>Built-in</t>
        </is>
      </c>
      <c r="E25" s="15" t="inlineStr">
        <is>
          <t>Built-in</t>
        </is>
      </c>
      <c r="F25" s="15" t="inlineStr">
        <is>
          <t>Add-on</t>
        </is>
      </c>
      <c r="G25" s="15" t="inlineStr">
        <is>
          <t>Built-in</t>
        </is>
      </c>
      <c r="H25" s="15" t="inlineStr">
        <is>
          <t>Limited</t>
        </is>
      </c>
    </row>
    <row r="26">
      <c r="A26" s="14" t="inlineStr">
        <is>
          <t>F22</t>
        </is>
      </c>
      <c r="B26" s="14" t="inlineStr">
        <is>
          <t>Secret management</t>
        </is>
      </c>
      <c r="C26" s="14" t="inlineStr">
        <is>
          <t>Security and metadata (07)</t>
        </is>
      </c>
      <c r="D26" s="15" t="inlineStr">
        <is>
          <t>Implement</t>
        </is>
      </c>
      <c r="E26" s="15" t="inlineStr">
        <is>
          <t>Validate</t>
        </is>
      </c>
      <c r="F26" s="15" t="inlineStr">
        <is>
          <t>Add-on</t>
        </is>
      </c>
      <c r="G26" s="15" t="inlineStr">
        <is>
          <t>Validate</t>
        </is>
      </c>
      <c r="H26" s="15" t="inlineStr">
        <is>
          <t>Add-on</t>
        </is>
      </c>
    </row>
    <row r="27">
      <c r="A27" s="14" t="inlineStr">
        <is>
          <t>F23</t>
        </is>
      </c>
      <c r="B27" s="14" t="inlineStr">
        <is>
          <t>Runtime audit / logs</t>
        </is>
      </c>
      <c r="C27" s="14" t="inlineStr">
        <is>
          <t>Security and metadata (07)</t>
        </is>
      </c>
      <c r="D27" s="15" t="inlineStr">
        <is>
          <t>Built-in</t>
        </is>
      </c>
      <c r="E27" s="15" t="inlineStr">
        <is>
          <t>Built-in</t>
        </is>
      </c>
      <c r="F27" s="15" t="inlineStr">
        <is>
          <t>Built-in</t>
        </is>
      </c>
      <c r="G27" s="15" t="inlineStr">
        <is>
          <t>Built-in</t>
        </is>
      </c>
      <c r="H27" s="15" t="inlineStr">
        <is>
          <t>Limited</t>
        </is>
      </c>
    </row>
    <row r="28">
      <c r="A28" s="14" t="inlineStr">
        <is>
          <t>F24</t>
        </is>
      </c>
      <c r="B28" s="14" t="inlineStr">
        <is>
          <t>Technical dependencies</t>
        </is>
      </c>
      <c r="C28" s="14" t="inlineStr">
        <is>
          <t>Security and metadata (07)</t>
        </is>
      </c>
      <c r="D28" s="15" t="inlineStr">
        <is>
          <t>Built-in</t>
        </is>
      </c>
      <c r="E28" s="15" t="inlineStr">
        <is>
          <t>Built-in</t>
        </is>
      </c>
      <c r="F28" s="15" t="inlineStr">
        <is>
          <t>Built-in</t>
        </is>
      </c>
      <c r="G28" s="15" t="inlineStr">
        <is>
          <t>Built-in</t>
        </is>
      </c>
      <c r="H28" s="15" t="inlineStr">
        <is>
          <t>Add-on</t>
        </is>
      </c>
    </row>
    <row r="29">
      <c r="A29" s="14" t="inlineStr">
        <is>
          <t>F25</t>
        </is>
      </c>
      <c r="B29" s="14" t="inlineStr">
        <is>
          <t>Source-to-report lineage</t>
        </is>
      </c>
      <c r="C29" s="14" t="inlineStr">
        <is>
          <t>Security and metadata (07)</t>
        </is>
      </c>
      <c r="D29" s="15" t="inlineStr">
        <is>
          <t>Add-on</t>
        </is>
      </c>
      <c r="E29" s="15" t="inlineStr">
        <is>
          <t>Add-on</t>
        </is>
      </c>
      <c r="F29" s="15" t="inlineStr">
        <is>
          <t>Add-on</t>
        </is>
      </c>
      <c r="G29" s="15" t="inlineStr">
        <is>
          <t>Add-on</t>
        </is>
      </c>
      <c r="H29" s="15" t="inlineStr">
        <is>
          <t>Add-on</t>
        </is>
      </c>
    </row>
    <row r="30">
      <c r="A30" s="14" t="inlineStr">
        <is>
          <t>F26</t>
        </is>
      </c>
      <c r="B30" s="14" t="inlineStr">
        <is>
          <t>Git / code review</t>
        </is>
      </c>
      <c r="C30" s="14" t="inlineStr">
        <is>
          <t>Development and operations (08, 09)</t>
        </is>
      </c>
      <c r="D30" s="15" t="inlineStr">
        <is>
          <t>Built-in</t>
        </is>
      </c>
      <c r="E30" s="15" t="inlineStr">
        <is>
          <t>Limited</t>
        </is>
      </c>
      <c r="F30" s="15" t="inlineStr">
        <is>
          <t>Built-in</t>
        </is>
      </c>
      <c r="G30" s="15" t="inlineStr">
        <is>
          <t>Limited</t>
        </is>
      </c>
      <c r="H30" s="15" t="inlineStr">
        <is>
          <t>Built-in</t>
        </is>
      </c>
    </row>
    <row r="31">
      <c r="A31" s="14" t="inlineStr">
        <is>
          <t>F27</t>
        </is>
      </c>
      <c r="B31" s="14" t="inlineStr">
        <is>
          <t>Environment promotion</t>
        </is>
      </c>
      <c r="C31" s="14" t="inlineStr">
        <is>
          <t>Development and operations (08, 09)</t>
        </is>
      </c>
      <c r="D31" s="15" t="inlineStr">
        <is>
          <t>Built-in</t>
        </is>
      </c>
      <c r="E31" s="15" t="inlineStr">
        <is>
          <t>Built-in</t>
        </is>
      </c>
      <c r="F31" s="15" t="inlineStr">
        <is>
          <t>Implement</t>
        </is>
      </c>
      <c r="G31" s="15" t="inlineStr">
        <is>
          <t>Implement</t>
        </is>
      </c>
      <c r="H31" s="15" t="inlineStr">
        <is>
          <t>Implement</t>
        </is>
      </c>
    </row>
    <row r="32">
      <c r="A32" s="14" t="inlineStr">
        <is>
          <t>F28</t>
        </is>
      </c>
      <c r="B32" s="14" t="inlineStr">
        <is>
          <t>CLI automation</t>
        </is>
      </c>
      <c r="C32" s="14" t="inlineStr">
        <is>
          <t>Development and operations (08, 09)</t>
        </is>
      </c>
      <c r="D32" s="15" t="inlineStr">
        <is>
          <t>Built-in</t>
        </is>
      </c>
      <c r="E32" s="15" t="inlineStr">
        <is>
          <t>Built-in</t>
        </is>
      </c>
      <c r="F32" s="15" t="inlineStr">
        <is>
          <t>Built-in</t>
        </is>
      </c>
      <c r="G32" s="15" t="inlineStr">
        <is>
          <t>Built-in</t>
        </is>
      </c>
      <c r="H32" s="15" t="inlineStr">
        <is>
          <t>Built-in</t>
        </is>
      </c>
    </row>
    <row r="33">
      <c r="A33" s="14" t="inlineStr">
        <is>
          <t>F29</t>
        </is>
      </c>
      <c r="B33" s="14" t="inlineStr">
        <is>
          <t>Monitoring / alerts</t>
        </is>
      </c>
      <c r="C33" s="14" t="inlineStr">
        <is>
          <t>Development and operations (08, 09)</t>
        </is>
      </c>
      <c r="D33" s="15" t="inlineStr">
        <is>
          <t>Limited</t>
        </is>
      </c>
      <c r="E33" s="15" t="inlineStr">
        <is>
          <t>Built-in</t>
        </is>
      </c>
      <c r="F33" s="15" t="inlineStr">
        <is>
          <t>Add-on</t>
        </is>
      </c>
      <c r="G33" s="15" t="inlineStr">
        <is>
          <t>Built-in</t>
        </is>
      </c>
      <c r="H33" s="15" t="inlineStr">
        <is>
          <t>Limited</t>
        </is>
      </c>
    </row>
    <row r="34">
      <c r="A34" s="14" t="inlineStr">
        <is>
          <t>F30</t>
        </is>
      </c>
      <c r="B34" s="14" t="inlineStr">
        <is>
          <t>HA / disaster recovery</t>
        </is>
      </c>
      <c r="C34" s="14" t="inlineStr">
        <is>
          <t>Development and operations (08, 09)</t>
        </is>
      </c>
      <c r="D34" s="15" t="inlineStr">
        <is>
          <t>Validate</t>
        </is>
      </c>
      <c r="E34" s="15" t="inlineStr">
        <is>
          <t>Validate</t>
        </is>
      </c>
      <c r="F34" s="15" t="inlineStr">
        <is>
          <t>Add-on</t>
        </is>
      </c>
      <c r="G34" s="15" t="inlineStr">
        <is>
          <t>Validate</t>
        </is>
      </c>
      <c r="H34" s="15" t="inlineStr">
        <is>
          <t>Add-on</t>
        </is>
      </c>
    </row>
    <row r="35">
      <c r="A35" s="14" t="inlineStr">
        <is>
          <t>F31</t>
        </is>
      </c>
      <c r="B35" s="14" t="inlineStr">
        <is>
          <t>Local AI-assisted development</t>
        </is>
      </c>
      <c r="C35" s="14" t="inlineStr">
        <is>
          <t>AI integration (12)</t>
        </is>
      </c>
      <c r="D35" s="15" t="inlineStr">
        <is>
          <t>Implement</t>
        </is>
      </c>
      <c r="E35" s="15" t="inlineStr">
        <is>
          <t>Validate</t>
        </is>
      </c>
      <c r="F35" s="15" t="inlineStr">
        <is>
          <t>Add-on</t>
        </is>
      </c>
      <c r="G35" s="15" t="inlineStr">
        <is>
          <t>Validate</t>
        </is>
      </c>
      <c r="H35" s="15" t="inlineStr">
        <is>
          <t>Add-on</t>
        </is>
      </c>
    </row>
    <row r="36">
      <c r="A36" s="14" t="inlineStr">
        <is>
          <t>F32</t>
        </is>
      </c>
      <c r="B36" s="14" t="inlineStr">
        <is>
          <t>Call a local model endpoint</t>
        </is>
      </c>
      <c r="C36" s="14" t="inlineStr">
        <is>
          <t>AI integration (12)</t>
        </is>
      </c>
      <c r="D36" s="15" t="inlineStr">
        <is>
          <t>Implement</t>
        </is>
      </c>
      <c r="E36" s="15" t="inlineStr">
        <is>
          <t>Implement</t>
        </is>
      </c>
      <c r="F36" s="15" t="inlineStr">
        <is>
          <t>Add-on</t>
        </is>
      </c>
      <c r="G36" s="15" t="inlineStr">
        <is>
          <t>Add-on</t>
        </is>
      </c>
      <c r="H36" s="15" t="inlineStr">
        <is>
          <t>Implement</t>
        </is>
      </c>
    </row>
    <row r="37">
      <c r="A37" s="14" t="inlineStr">
        <is>
          <t>F33</t>
        </is>
      </c>
      <c r="B37" s="14" t="inlineStr">
        <is>
          <t>ML feature engineering / scoring</t>
        </is>
      </c>
      <c r="C37" s="14" t="inlineStr">
        <is>
          <t>AI integration (12)</t>
        </is>
      </c>
      <c r="D37" s="15" t="inlineStr">
        <is>
          <t>Implement</t>
        </is>
      </c>
      <c r="E37" s="15" t="inlineStr">
        <is>
          <t>Implement</t>
        </is>
      </c>
      <c r="F37" s="15" t="inlineStr">
        <is>
          <t>Limited</t>
        </is>
      </c>
      <c r="G37" s="15" t="inlineStr">
        <is>
          <t>Built-in</t>
        </is>
      </c>
      <c r="H37" s="15" t="inlineStr">
        <is>
          <t>Built-in</t>
        </is>
      </c>
    </row>
    <row r="38">
      <c r="A38" s="14" t="inlineStr">
        <is>
          <t>F34</t>
        </is>
      </c>
      <c r="B38" s="14" t="inlineStr">
        <is>
          <t>AI audit and repeatability</t>
        </is>
      </c>
      <c r="C38" s="14" t="inlineStr">
        <is>
          <t>AI integration (12)</t>
        </is>
      </c>
      <c r="D38" s="15" t="inlineStr">
        <is>
          <t>Implement</t>
        </is>
      </c>
      <c r="E38" s="15" t="inlineStr">
        <is>
          <t>Implement</t>
        </is>
      </c>
      <c r="F38" s="15" t="inlineStr">
        <is>
          <t>Implement</t>
        </is>
      </c>
      <c r="G38" s="15" t="inlineStr">
        <is>
          <t>Implement</t>
        </is>
      </c>
      <c r="H38" s="15" t="inlineStr">
        <is>
          <t>Implement</t>
        </is>
      </c>
    </row>
    <row r="39">
      <c r="A39" s="14" t="inlineStr">
        <is>
          <t>F35</t>
        </is>
      </c>
      <c r="B39" s="14" t="inlineStr">
        <is>
          <t>Core licence / source access</t>
        </is>
      </c>
      <c r="C39" s="14" t="inlineStr">
        <is>
          <t>Open source and extensibility (13)</t>
        </is>
      </c>
      <c r="D39" s="15" t="inlineStr">
        <is>
          <t>Proprietary</t>
        </is>
      </c>
      <c r="E39" s="15" t="inlineStr">
        <is>
          <t>Proprietary</t>
        </is>
      </c>
      <c r="F39" s="15" t="inlineStr">
        <is>
          <t>Open source</t>
        </is>
      </c>
      <c r="G39" s="15" t="inlineStr">
        <is>
          <t>Mixed</t>
        </is>
      </c>
      <c r="H39" s="15" t="inlineStr">
        <is>
          <t>Open source</t>
        </is>
      </c>
    </row>
    <row r="40">
      <c r="A40" s="14" t="inlineStr">
        <is>
          <t>F36</t>
        </is>
      </c>
      <c r="B40" s="14" t="inlineStr">
        <is>
          <t>Extend / replace components</t>
        </is>
      </c>
      <c r="C40" s="14" t="inlineStr">
        <is>
          <t>Open source and extensibility (13)</t>
        </is>
      </c>
      <c r="D40" s="15" t="inlineStr">
        <is>
          <t>Limited</t>
        </is>
      </c>
      <c r="E40" s="15" t="inlineStr">
        <is>
          <t>Limited</t>
        </is>
      </c>
      <c r="F40" s="15" t="inlineStr">
        <is>
          <t>Built-in</t>
        </is>
      </c>
      <c r="G40" s="15" t="inlineStr">
        <is>
          <t>Validate</t>
        </is>
      </c>
      <c r="H40" s="15" t="inlineStr">
        <is>
          <t>Built-in</t>
        </is>
      </c>
    </row>
    <row r="42">
      <c r="B42" s="6" t="inlineStr">
        <is>
          <t>Label counts (F01–F34, F36; F35 is a licence label)</t>
        </is>
      </c>
    </row>
    <row r="43">
      <c r="A43" s="3" t="inlineStr"/>
      <c r="B43" s="3" t="inlineStr">
        <is>
          <t>Label</t>
        </is>
      </c>
      <c r="C43" s="3" t="inlineStr"/>
      <c r="D43" s="3" t="inlineStr">
        <is>
          <t>ODI</t>
        </is>
      </c>
      <c r="E43" s="3" t="inlineStr">
        <is>
          <t>PC</t>
        </is>
      </c>
      <c r="F43" s="3" t="inlineStr">
        <is>
          <t>dbt</t>
        </is>
      </c>
      <c r="G43" s="3" t="inlineStr">
        <is>
          <t>CDP</t>
        </is>
      </c>
      <c r="H43" s="3" t="inlineStr">
        <is>
          <t>Spark</t>
        </is>
      </c>
    </row>
    <row r="44">
      <c r="B44" s="22" t="inlineStr">
        <is>
          <t>Built-in</t>
        </is>
      </c>
      <c r="C44" s="14" t="n"/>
      <c r="D44" s="15">
        <f>COUNTIF(D$5:D$40,"Built-in")</f>
        <v/>
      </c>
      <c r="E44" s="15">
        <f>COUNTIF(E$5:E$40,"Built-in")</f>
        <v/>
      </c>
      <c r="F44" s="15">
        <f>COUNTIF(F$5:F$40,"Built-in")</f>
        <v/>
      </c>
      <c r="G44" s="15">
        <f>COUNTIF(G$5:G$40,"Built-in")</f>
        <v/>
      </c>
      <c r="H44" s="15">
        <f>COUNTIF(H$5:H$40,"Built-in")</f>
        <v/>
      </c>
    </row>
    <row r="45">
      <c r="B45" s="23" t="inlineStr">
        <is>
          <t>Limited</t>
        </is>
      </c>
      <c r="C45" s="14" t="n"/>
      <c r="D45" s="15">
        <f>COUNTIF(D$5:D$40,"Limited")</f>
        <v/>
      </c>
      <c r="E45" s="15">
        <f>COUNTIF(E$5:E$40,"Limited")</f>
        <v/>
      </c>
      <c r="F45" s="15">
        <f>COUNTIF(F$5:F$40,"Limited")</f>
        <v/>
      </c>
      <c r="G45" s="15">
        <f>COUNTIF(G$5:G$40,"Limited")</f>
        <v/>
      </c>
      <c r="H45" s="15">
        <f>COUNTIF(H$5:H$40,"Limited")</f>
        <v/>
      </c>
    </row>
    <row r="46">
      <c r="B46" s="24" t="inlineStr">
        <is>
          <t>Implement</t>
        </is>
      </c>
      <c r="C46" s="14" t="n"/>
      <c r="D46" s="15">
        <f>COUNTIF(D$5:D$40,"Implement")</f>
        <v/>
      </c>
      <c r="E46" s="15">
        <f>COUNTIF(E$5:E$40,"Implement")</f>
        <v/>
      </c>
      <c r="F46" s="15">
        <f>COUNTIF(F$5:F$40,"Implement")</f>
        <v/>
      </c>
      <c r="G46" s="15">
        <f>COUNTIF(G$5:G$40,"Implement")</f>
        <v/>
      </c>
      <c r="H46" s="15">
        <f>COUNTIF(H$5:H$40,"Implement")</f>
        <v/>
      </c>
    </row>
    <row r="47">
      <c r="B47" s="25" t="inlineStr">
        <is>
          <t>Add-on</t>
        </is>
      </c>
      <c r="C47" s="14" t="n"/>
      <c r="D47" s="15">
        <f>COUNTIF(D$5:D$40,"Add-on")</f>
        <v/>
      </c>
      <c r="E47" s="15">
        <f>COUNTIF(E$5:E$40,"Add-on")</f>
        <v/>
      </c>
      <c r="F47" s="15">
        <f>COUNTIF(F$5:F$40,"Add-on")</f>
        <v/>
      </c>
      <c r="G47" s="15">
        <f>COUNTIF(G$5:G$40,"Add-on")</f>
        <v/>
      </c>
      <c r="H47" s="15">
        <f>COUNTIF(H$5:H$40,"Add-on")</f>
        <v/>
      </c>
    </row>
    <row r="48">
      <c r="B48" s="26" t="inlineStr">
        <is>
          <t>Validate</t>
        </is>
      </c>
      <c r="C48" s="14" t="n"/>
      <c r="D48" s="15">
        <f>COUNTIF(D$5:D$40,"Validate")</f>
        <v/>
      </c>
      <c r="E48" s="15">
        <f>COUNTIF(E$5:E$40,"Validate")</f>
        <v/>
      </c>
      <c r="F48" s="15">
        <f>COUNTIF(F$5:F$40,"Validate")</f>
        <v/>
      </c>
      <c r="G48" s="15">
        <f>COUNTIF(G$5:G$40,"Validate")</f>
        <v/>
      </c>
      <c r="H48" s="15">
        <f>COUNTIF(H$5:H$40,"Validate")</f>
        <v/>
      </c>
    </row>
    <row r="49">
      <c r="B49" s="27" t="inlineStr">
        <is>
          <t>Out of scope</t>
        </is>
      </c>
      <c r="C49" s="14" t="n"/>
      <c r="D49" s="15">
        <f>COUNTIF(D$5:D$40,"Out of scope")</f>
        <v/>
      </c>
      <c r="E49" s="15">
        <f>COUNTIF(E$5:E$40,"Out of scope")</f>
        <v/>
      </c>
      <c r="F49" s="15">
        <f>COUNTIF(F$5:F$40,"Out of scope")</f>
        <v/>
      </c>
      <c r="G49" s="15">
        <f>COUNTIF(G$5:G$40,"Out of scope")</f>
        <v/>
      </c>
      <c r="H49" s="15">
        <f>COUNTIF(H$5:H$40,"Out of scope")</f>
        <v/>
      </c>
    </row>
    <row r="50">
      <c r="B50" s="18" t="inlineStr">
        <is>
          <t>Bank-built or bought (Implement + Add-on)</t>
        </is>
      </c>
      <c r="C50" s="14" t="n"/>
      <c r="D50" s="28">
        <f>D46+D47</f>
        <v/>
      </c>
      <c r="E50" s="28">
        <f>E46+E47</f>
        <v/>
      </c>
      <c r="F50" s="28">
        <f>F46+F47</f>
        <v/>
      </c>
      <c r="G50" s="28">
        <f>G46+G47</f>
        <v/>
      </c>
      <c r="H50" s="28">
        <f>H46+H47</f>
        <v/>
      </c>
    </row>
    <row r="52" ht="48" customHeight="1">
      <c r="B52" s="5" t="inlineStr">
        <is>
          <t>Reading: the two packaged ETL products come with the most out of the box; dbt, CDP and Spark each shift roughly half of the features onto the bank or onto additional components. Rows marked Implement for everyone (F13, F15, F20, F34) are bank intellectual property regardless of tool and should be designed once, tool-agnostically, in PL/SQL on Exadata.</t>
        </is>
      </c>
    </row>
  </sheetData>
  <mergeCells count="2">
    <mergeCell ref="B52:H52"/>
    <mergeCell ref="A2:H2"/>
  </mergeCells>
  <conditionalFormatting sqref="D5:H40">
    <cfRule type="cellIs" priority="1" operator="equal" dxfId="0">
      <formula>"Built-in"</formula>
    </cfRule>
    <cfRule type="cellIs" priority="2" operator="equal" dxfId="1">
      <formula>"Limited"</formula>
    </cfRule>
    <cfRule type="cellIs" priority="3" operator="equal" dxfId="2">
      <formula>"Implement"</formula>
    </cfRule>
    <cfRule type="cellIs" priority="4" operator="equal" dxfId="5">
      <formula>"Add-on"</formula>
    </cfRule>
    <cfRule type="cellIs" priority="5" operator="equal" dxfId="3">
      <formula>"Validate"</formula>
    </cfRule>
    <cfRule type="cellIs" priority="6" operator="equal" dxfId="4">
      <formula>"Out of scope"</formula>
    </cfRule>
    <cfRule type="cellIs" priority="7" operator="equal" dxfId="0">
      <formula>"Open source"</formula>
    </cfRule>
    <cfRule type="cellIs" priority="8" operator="equal" dxfId="2">
      <formula>"Proprietary"</formula>
    </cfRule>
    <cfRule type="cellIs" priority="9" operator="equal" dxfId="1">
      <formula>"Mixed"</formula>
    </cfRule>
    <cfRule type="cellIs" priority="10" operator="equal" dxfId="4">
      <formula>"H"</formula>
    </cfRule>
    <cfRule type="cellIs" priority="11" operator="equal" dxfId="1">
      <formula>"M"</formula>
    </cfRule>
    <cfRule type="cellIs" priority="12" operator="equal" dxfId="0">
      <formula>"L"</formula>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26" customWidth="1" min="2" max="2"/>
    <col width="26" customWidth="1" min="3" max="3"/>
    <col width="26" customWidth="1" min="4" max="4"/>
    <col width="26" customWidth="1" min="5" max="5"/>
    <col width="26" customWidth="1" min="6" max="6"/>
  </cols>
  <sheetData>
    <row r="1">
      <c r="A1" s="1" t="inlineStr">
        <is>
          <t>Matrix D — Takasbank fit factors</t>
        </is>
      </c>
    </row>
    <row r="2">
      <c r="A2" s="2" t="inlineStr">
        <is>
          <t>Yes / No / Partly against the bank's situation, not against generic product merit.</t>
        </is>
      </c>
    </row>
    <row r="4">
      <c r="A4" s="3" t="inlineStr">
        <is>
          <t>Fit factor</t>
        </is>
      </c>
      <c r="B4" s="3" t="inlineStr">
        <is>
          <t>Oracle ODI</t>
        </is>
      </c>
      <c r="C4" s="3" t="inlineStr">
        <is>
          <t>Informatica PowerCenter</t>
        </is>
      </c>
      <c r="D4" s="3" t="inlineStr">
        <is>
          <t>dbt Core v1 + Oracle</t>
        </is>
      </c>
      <c r="E4" s="3" t="inlineStr">
        <is>
          <t>Cloudera (on premises)</t>
        </is>
      </c>
      <c r="F4" s="3" t="inlineStr">
        <is>
          <t>Apache Spark (on premises)</t>
        </is>
      </c>
    </row>
    <row r="5">
      <c r="A5" s="29" t="inlineStr">
        <is>
          <t>Transformation runs inside Exadata by default</t>
        </is>
      </c>
      <c r="B5" s="15" t="inlineStr">
        <is>
          <t>Yes</t>
        </is>
      </c>
      <c r="C5" s="15" t="inlineStr">
        <is>
          <t>Partly (pushdown coverage varies)</t>
        </is>
      </c>
      <c r="D5" s="15" t="inlineStr">
        <is>
          <t>Yes</t>
        </is>
      </c>
      <c r="E5" s="15" t="inlineStr">
        <is>
          <t>No (out and back)</t>
        </is>
      </c>
      <c r="F5" s="15" t="inlineStr">
        <is>
          <t>No (out and back)</t>
        </is>
      </c>
    </row>
    <row r="6">
      <c r="A6" s="29" t="inlineStr">
        <is>
          <t>Needs a second compute estate</t>
        </is>
      </c>
      <c r="B6" s="15" t="inlineStr">
        <is>
          <t>No</t>
        </is>
      </c>
      <c r="C6" s="15" t="inlineStr">
        <is>
          <t>Partly (Integration Service domain)</t>
        </is>
      </c>
      <c r="D6" s="15" t="inlineStr">
        <is>
          <t>No (small runner)</t>
        </is>
      </c>
      <c r="E6" s="15" t="inlineStr">
        <is>
          <t>Yes (cluster + DR)</t>
        </is>
      </c>
      <c r="F6" s="15" t="inlineStr">
        <is>
          <t>Yes (cluster + DR)</t>
        </is>
      </c>
    </row>
    <row r="7">
      <c r="A7" s="29" t="inlineStr">
        <is>
          <t>Readable / tunable by the Oracle DBA + PL/SQL team</t>
        </is>
      </c>
      <c r="B7" s="15" t="inlineStr">
        <is>
          <t>Yes</t>
        </is>
      </c>
      <c r="C7" s="15" t="inlineStr">
        <is>
          <t>Partly</t>
        </is>
      </c>
      <c r="D7" s="15" t="inlineStr">
        <is>
          <t>Yes (SQL)</t>
        </is>
      </c>
      <c r="E7" s="15" t="inlineStr">
        <is>
          <t>No</t>
        </is>
      </c>
      <c r="F7" s="15" t="inlineStr">
        <is>
          <t>No</t>
        </is>
      </c>
    </row>
    <row r="8">
      <c r="A8" s="29" t="inlineStr">
        <is>
          <t>New skill profile required</t>
        </is>
      </c>
      <c r="B8" s="15" t="inlineStr">
        <is>
          <t>ODI/KM developer</t>
        </is>
      </c>
      <c r="C8" s="15" t="inlineStr">
        <is>
          <t>PC admin + developers</t>
        </is>
      </c>
      <c r="D8" s="15" t="inlineStr">
        <is>
          <t>Python/CI owner</t>
        </is>
      </c>
      <c r="E8" s="15" t="inlineStr">
        <is>
          <t>Cluster/platform team</t>
        </is>
      </c>
      <c r="F8" s="15" t="inlineStr">
        <is>
          <t>Distributed-systems team</t>
        </is>
      </c>
    </row>
    <row r="9">
      <c r="A9" s="29" t="inlineStr">
        <is>
          <t>Can start Pilot A with zero procurement</t>
        </is>
      </c>
      <c r="B9" s="15" t="inlineStr">
        <is>
          <t>No</t>
        </is>
      </c>
      <c r="C9" s="15" t="inlineStr">
        <is>
          <t>No</t>
        </is>
      </c>
      <c r="D9" s="15" t="inlineStr">
        <is>
          <t>Yes</t>
        </is>
      </c>
      <c r="E9" s="15" t="inlineStr">
        <is>
          <t>No</t>
        </is>
      </c>
      <c r="F9" s="15" t="inlineStr">
        <is>
          <t>Engine yes, service no</t>
        </is>
      </c>
    </row>
    <row r="10">
      <c r="A10" s="29" t="inlineStr">
        <is>
          <t>S2 batch from sur standby, SCN-consistent</t>
        </is>
      </c>
      <c r="B10" s="15" t="inlineStr">
        <is>
          <t>Yes</t>
        </is>
      </c>
      <c r="C10" s="15" t="inlineStr">
        <is>
          <t>Yes</t>
        </is>
      </c>
      <c r="D10" s="15" t="inlineStr">
        <is>
          <t>Yes (bank ingestion)</t>
        </is>
      </c>
      <c r="E10" s="15" t="inlineStr">
        <is>
          <t>Yes (+ consistency design)</t>
        </is>
      </c>
      <c r="F10" s="15" t="inlineStr">
        <is>
          <t>Yes (+ consistency design)</t>
        </is>
      </c>
    </row>
    <row r="11">
      <c r="A11" s="29" t="inlineStr">
        <is>
          <t>S0 CDC without extra product</t>
        </is>
      </c>
      <c r="B11" s="15" t="inlineStr">
        <is>
          <t>No</t>
        </is>
      </c>
      <c r="C11" s="15" t="inlineStr">
        <is>
          <t>No</t>
        </is>
      </c>
      <c r="D11" s="15" t="inlineStr">
        <is>
          <t>No</t>
        </is>
      </c>
      <c r="E11" s="15" t="inlineStr">
        <is>
          <t>No</t>
        </is>
      </c>
      <c r="F11" s="15" t="inlineStr">
        <is>
          <t>No</t>
        </is>
      </c>
    </row>
    <row r="12">
      <c r="A12" s="29" t="inlineStr">
        <is>
          <t>Trigger-free on prod Kale / read-only standby</t>
        </is>
      </c>
      <c r="B12" s="15" t="inlineStr">
        <is>
          <t>Yes if JKMs avoided</t>
        </is>
      </c>
      <c r="C12" s="15" t="inlineStr">
        <is>
          <t>Yes</t>
        </is>
      </c>
      <c r="D12" s="15" t="inlineStr">
        <is>
          <t>Yes</t>
        </is>
      </c>
      <c r="E12" s="15" t="inlineStr">
        <is>
          <t>Yes</t>
        </is>
      </c>
      <c r="F12" s="15" t="inlineStr">
        <is>
          <t>Yes</t>
        </is>
      </c>
    </row>
    <row r="13">
      <c r="A13" s="29" t="inlineStr">
        <is>
          <t>Automic as house scheduler</t>
        </is>
      </c>
      <c r="B13" s="15" t="inlineStr">
        <is>
          <t>Native CLI / Load Plan</t>
        </is>
      </c>
      <c r="C13" s="15" t="inlineStr">
        <is>
          <t>Native CLI</t>
        </is>
      </c>
      <c r="D13" s="15" t="inlineStr">
        <is>
          <t>Native CLI</t>
        </is>
      </c>
      <c r="E13" s="15" t="inlineStr">
        <is>
          <t>Add-on / Build</t>
        </is>
      </c>
      <c r="F13" s="15" t="inlineStr">
        <is>
          <t>Add-on / Build</t>
        </is>
      </c>
    </row>
    <row r="14">
      <c r="A14" s="29" t="inlineStr">
        <is>
          <t>Contractual support route exists today</t>
        </is>
      </c>
      <c r="B14" s="15" t="inlineStr">
        <is>
          <t>Oracle</t>
        </is>
      </c>
      <c r="C14" s="15" t="inlineStr">
        <is>
          <t>Informatica / partner (local roadmap unproven)</t>
        </is>
      </c>
      <c r="D14" s="15" t="inlineStr">
        <is>
          <t>None</t>
        </is>
      </c>
      <c r="E14" s="15" t="inlineStr">
        <is>
          <t>Cloudera (team does not exist)</t>
        </is>
      </c>
      <c r="F14" s="15" t="inlineStr">
        <is>
          <t>None</t>
        </is>
      </c>
    </row>
    <row r="15">
      <c r="A15" s="29" t="inlineStr">
        <is>
          <t>Vendor product-direction risk</t>
        </is>
      </c>
      <c r="B15" s="15" t="inlineStr">
        <is>
          <t>L</t>
        </is>
      </c>
      <c r="C15" s="15" t="inlineStr">
        <is>
          <t>H</t>
        </is>
      </c>
      <c r="D15" s="15" t="inlineStr">
        <is>
          <t>M (Core v1 vs Fusion)</t>
        </is>
      </c>
      <c r="E15" s="15" t="inlineStr">
        <is>
          <t>L–M</t>
        </is>
      </c>
      <c r="F15" s="15" t="inlineStr">
        <is>
          <t>L</t>
        </is>
      </c>
    </row>
    <row r="16">
      <c r="A16" s="29" t="inlineStr">
        <is>
          <t>Exit / migration effort</t>
        </is>
      </c>
      <c r="B16" s="15" t="inlineStr">
        <is>
          <t>M</t>
        </is>
      </c>
      <c r="C16" s="15" t="inlineStr">
        <is>
          <t>H</t>
        </is>
      </c>
      <c r="D16" s="15" t="inlineStr">
        <is>
          <t>L</t>
        </is>
      </c>
      <c r="E16" s="15" t="inlineStr">
        <is>
          <t>H</t>
        </is>
      </c>
      <c r="F16" s="15" t="inlineStr">
        <is>
          <t>M</t>
        </is>
      </c>
    </row>
    <row r="17">
      <c r="A17" s="29" t="inlineStr">
        <is>
          <t>Existing bank entitlement</t>
        </is>
      </c>
      <c r="B17" s="15" t="inlineStr">
        <is>
          <t>None (Oracle DB only)</t>
        </is>
      </c>
      <c r="C17" s="15" t="inlineStr">
        <is>
          <t>TDM only — no PC rights</t>
        </is>
      </c>
      <c r="D17" s="15" t="inlineStr">
        <is>
          <t>n/a</t>
        </is>
      </c>
      <c r="E17" s="15" t="inlineStr">
        <is>
          <t>None</t>
        </is>
      </c>
      <c r="F17" s="15" t="inlineStr">
        <is>
          <t>n/a</t>
        </is>
      </c>
    </row>
    <row r="18">
      <c r="A18" s="18" t="inlineStr">
        <is>
          <t>Disposition</t>
        </is>
      </c>
      <c r="B18" s="15" t="inlineStr">
        <is>
          <t>Lead shortlist</t>
        </is>
      </c>
      <c r="C18" s="15" t="inlineStr">
        <is>
          <t>Challenger</t>
        </is>
      </c>
      <c r="D18" s="15" t="inlineStr">
        <is>
          <t>Conditional</t>
        </is>
      </c>
      <c r="E18" s="15" t="inlineStr">
        <is>
          <t>Defer</t>
        </is>
      </c>
      <c r="F18" s="15" t="inlineStr">
        <is>
          <t>Specialist complement</t>
        </is>
      </c>
    </row>
  </sheetData>
  <mergeCells count="1">
    <mergeCell ref="A2:F2"/>
  </mergeCells>
  <conditionalFormatting sqref="B5:F18">
    <cfRule type="expression" priority="1" dxfId="0">
      <formula>LEFT(B5,3)="Yes"</formula>
    </cfRule>
    <cfRule type="expression" priority="2" dxfId="1">
      <formula>LEFT(B5,6)="Partly"</formula>
    </cfRule>
    <cfRule type="expression" priority="3" dxfId="2">
      <formula>LEFT(B5,2)="No"</formula>
    </cfRule>
    <cfRule type="cellIs" priority="4" operator="equal" dxfId="4">
      <formula>"H"</formula>
    </cfRule>
    <cfRule type="cellIs" priority="5" operator="equal" dxfId="1">
      <formula>"M"</formula>
    </cfRule>
    <cfRule type="cellIs" priority="6" operator="equal" dxfId="0">
      <formula>"L"</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0" customWidth="1" min="2" max="2"/>
    <col width="10" customWidth="1" min="3" max="3"/>
    <col width="10" customWidth="1" min="4" max="4"/>
    <col width="10" customWidth="1" min="5" max="5"/>
    <col width="10" customWidth="1" min="6" max="6"/>
  </cols>
  <sheetData>
    <row r="1">
      <c r="A1" s="1" t="inlineStr">
        <is>
          <t>Matrix E — Risk heat map</t>
        </is>
      </c>
    </row>
    <row r="2">
      <c r="A2" s="2" t="inlineStr">
        <is>
          <t>Exposure of each candidate to the programme's main risk themes (H / M / L). Mitigations are in the Obsidian note ETL Tool Comparison, section 8.</t>
        </is>
      </c>
    </row>
    <row r="4">
      <c r="A4" s="3" t="inlineStr">
        <is>
          <t>Risk theme</t>
        </is>
      </c>
      <c r="B4" s="3" t="inlineStr">
        <is>
          <t>ODI</t>
        </is>
      </c>
      <c r="C4" s="3" t="inlineStr">
        <is>
          <t>PC</t>
        </is>
      </c>
      <c r="D4" s="3" t="inlineStr">
        <is>
          <t>dbt</t>
        </is>
      </c>
      <c r="E4" s="3" t="inlineStr">
        <is>
          <t>CDP</t>
        </is>
      </c>
      <c r="F4" s="3" t="inlineStr">
        <is>
          <t>Spark</t>
        </is>
      </c>
    </row>
    <row r="5">
      <c r="A5" s="14" t="inlineStr">
        <is>
          <t>Locality gate failed by telemetry, licence checks or assistants</t>
        </is>
      </c>
      <c r="B5" s="15" t="inlineStr">
        <is>
          <t>L</t>
        </is>
      </c>
      <c r="C5" s="15" t="inlineStr">
        <is>
          <t>H</t>
        </is>
      </c>
      <c r="D5" s="15" t="inlineStr">
        <is>
          <t>M</t>
        </is>
      </c>
      <c r="E5" s="15" t="inlineStr">
        <is>
          <t>M</t>
        </is>
      </c>
      <c r="F5" s="15" t="inlineStr">
        <is>
          <t>M</t>
        </is>
      </c>
    </row>
    <row r="6">
      <c r="A6" s="14" t="inlineStr">
        <is>
          <t>Hidden CDC dependency (GoldenGate / PowerExchange / connector)</t>
        </is>
      </c>
      <c r="B6" s="15" t="inlineStr">
        <is>
          <t>H</t>
        </is>
      </c>
      <c r="C6" s="15" t="inlineStr">
        <is>
          <t>H</t>
        </is>
      </c>
      <c r="D6" s="15" t="inlineStr">
        <is>
          <t>M</t>
        </is>
      </c>
      <c r="E6" s="15" t="inlineStr">
        <is>
          <t>M</t>
        </is>
      </c>
      <c r="F6" s="15" t="inlineStr">
        <is>
          <t>M</t>
        </is>
      </c>
    </row>
    <row r="7">
      <c r="A7" s="14" t="inlineStr">
        <is>
          <t>Vendor discontinues or de-prioritises the on-prem product</t>
        </is>
      </c>
      <c r="B7" s="15" t="inlineStr">
        <is>
          <t>L</t>
        </is>
      </c>
      <c r="C7" s="15" t="inlineStr">
        <is>
          <t>H</t>
        </is>
      </c>
      <c r="D7" s="15" t="inlineStr">
        <is>
          <t>M</t>
        </is>
      </c>
      <c r="E7" s="15" t="inlineStr">
        <is>
          <t>L</t>
        </is>
      </c>
      <c r="F7" s="15" t="inlineStr">
        <is>
          <t>L</t>
        </is>
      </c>
    </row>
    <row r="8">
      <c r="A8" s="14" t="inlineStr">
        <is>
          <t>No incident support path</t>
        </is>
      </c>
      <c r="B8" s="15" t="inlineStr">
        <is>
          <t>L</t>
        </is>
      </c>
      <c r="C8" s="15" t="inlineStr">
        <is>
          <t>M</t>
        </is>
      </c>
      <c r="D8" s="15" t="inlineStr">
        <is>
          <t>H</t>
        </is>
      </c>
      <c r="E8" s="15" t="inlineStr">
        <is>
          <t>M</t>
        </is>
      </c>
      <c r="F8" s="15" t="inlineStr">
        <is>
          <t>H</t>
        </is>
      </c>
    </row>
    <row r="9">
      <c r="A9" s="14" t="inlineStr">
        <is>
          <t>Staffing gap vs team that exists</t>
        </is>
      </c>
      <c r="B9" s="15" t="inlineStr">
        <is>
          <t>L</t>
        </is>
      </c>
      <c r="C9" s="15" t="inlineStr">
        <is>
          <t>M</t>
        </is>
      </c>
      <c r="D9" s="15" t="inlineStr">
        <is>
          <t>M</t>
        </is>
      </c>
      <c r="E9" s="15" t="inlineStr">
        <is>
          <t>H</t>
        </is>
      </c>
      <c r="F9" s="15" t="inlineStr">
        <is>
          <t>H</t>
        </is>
      </c>
    </row>
    <row r="10">
      <c r="A10" s="14" t="inlineStr">
        <is>
          <t>Second estate / data leaves Exadata</t>
        </is>
      </c>
      <c r="B10" s="15" t="inlineStr">
        <is>
          <t>L</t>
        </is>
      </c>
      <c r="C10" s="15" t="inlineStr">
        <is>
          <t>M</t>
        </is>
      </c>
      <c r="D10" s="15" t="inlineStr">
        <is>
          <t>L</t>
        </is>
      </c>
      <c r="E10" s="15" t="inlineStr">
        <is>
          <t>H</t>
        </is>
      </c>
      <c r="F10" s="15" t="inlineStr">
        <is>
          <t>H</t>
        </is>
      </c>
    </row>
    <row r="11">
      <c r="A11" s="14" t="inlineStr">
        <is>
          <t>Correctness handoff (reject loss, duplicate publication)</t>
        </is>
      </c>
      <c r="B11" s="15" t="inlineStr">
        <is>
          <t>M</t>
        </is>
      </c>
      <c r="C11" s="15" t="inlineStr">
        <is>
          <t>H</t>
        </is>
      </c>
      <c r="D11" s="15" t="inlineStr">
        <is>
          <t>M</t>
        </is>
      </c>
      <c r="E11" s="15" t="inlineStr">
        <is>
          <t>M</t>
        </is>
      </c>
      <c r="F11" s="15" t="inlineStr">
        <is>
          <t>H</t>
        </is>
      </c>
    </row>
    <row r="12">
      <c r="A12" s="14" t="inlineStr">
        <is>
          <t>In-house framework becomes unsupported product</t>
        </is>
      </c>
      <c r="B12" s="15" t="inlineStr">
        <is>
          <t>L</t>
        </is>
      </c>
      <c r="C12" s="15" t="inlineStr">
        <is>
          <t>L</t>
        </is>
      </c>
      <c r="D12" s="15" t="inlineStr">
        <is>
          <t>M</t>
        </is>
      </c>
      <c r="E12" s="15" t="inlineStr">
        <is>
          <t>M</t>
        </is>
      </c>
      <c r="F12" s="15" t="inlineStr">
        <is>
          <t>H</t>
        </is>
      </c>
    </row>
    <row r="13">
      <c r="A13" s="14" t="inlineStr">
        <is>
          <t>Lock-in / exit cost</t>
        </is>
      </c>
      <c r="B13" s="15" t="inlineStr">
        <is>
          <t>M</t>
        </is>
      </c>
      <c r="C13" s="15" t="inlineStr">
        <is>
          <t>H</t>
        </is>
      </c>
      <c r="D13" s="15" t="inlineStr">
        <is>
          <t>L</t>
        </is>
      </c>
      <c r="E13" s="15" t="inlineStr">
        <is>
          <t>H</t>
        </is>
      </c>
      <c r="F13" s="15" t="inlineStr">
        <is>
          <t>M</t>
        </is>
      </c>
    </row>
    <row r="14">
      <c r="A14" s="14" t="inlineStr">
        <is>
          <t>Tool purchase blocks first business result</t>
        </is>
      </c>
      <c r="B14" s="15" t="inlineStr">
        <is>
          <t>H</t>
        </is>
      </c>
      <c r="C14" s="15" t="inlineStr">
        <is>
          <t>H</t>
        </is>
      </c>
      <c r="D14" s="15" t="inlineStr">
        <is>
          <t>L</t>
        </is>
      </c>
      <c r="E14" s="15" t="inlineStr">
        <is>
          <t>H</t>
        </is>
      </c>
      <c r="F14" s="15" t="inlineStr">
        <is>
          <t>M</t>
        </is>
      </c>
    </row>
    <row r="15">
      <c r="A15" s="18" t="inlineStr">
        <is>
          <t>Count of H</t>
        </is>
      </c>
      <c r="B15" s="28">
        <f>COUNTIF(B$5:B$14,"H")</f>
        <v/>
      </c>
      <c r="C15" s="28">
        <f>COUNTIF(C$5:C$14,"H")</f>
        <v/>
      </c>
      <c r="D15" s="28">
        <f>COUNTIF(D$5:D$14,"H")</f>
        <v/>
      </c>
      <c r="E15" s="28">
        <f>COUNTIF(E$5:E$14,"H")</f>
        <v/>
      </c>
      <c r="F15" s="28">
        <f>COUNTIF(F$5:F$14,"H")</f>
        <v/>
      </c>
    </row>
    <row r="16">
      <c r="A16" s="18" t="inlineStr">
        <is>
          <t>Count of M</t>
        </is>
      </c>
      <c r="B16" s="28">
        <f>COUNTIF(B$5:B$14,"M")</f>
        <v/>
      </c>
      <c r="C16" s="28">
        <f>COUNTIF(C$5:C$14,"M")</f>
        <v/>
      </c>
      <c r="D16" s="28">
        <f>COUNTIF(D$5:D$14,"M")</f>
        <v/>
      </c>
      <c r="E16" s="28">
        <f>COUNTIF(E$5:E$14,"M")</f>
        <v/>
      </c>
      <c r="F16" s="28">
        <f>COUNTIF(F$5:F$14,"M")</f>
        <v/>
      </c>
    </row>
    <row r="17">
      <c r="A17" s="18" t="inlineStr">
        <is>
          <t>Count of L</t>
        </is>
      </c>
      <c r="B17" s="28">
        <f>COUNTIF(B$5:B$14,"L")</f>
        <v/>
      </c>
      <c r="C17" s="28">
        <f>COUNTIF(C$5:C$14,"L")</f>
        <v/>
      </c>
      <c r="D17" s="28">
        <f>COUNTIF(D$5:D$14,"L")</f>
        <v/>
      </c>
      <c r="E17" s="28">
        <f>COUNTIF(E$5:E$14,"L")</f>
        <v/>
      </c>
      <c r="F17" s="28">
        <f>COUNTIF(F$5:F$14,"L")</f>
        <v/>
      </c>
    </row>
  </sheetData>
  <mergeCells count="1">
    <mergeCell ref="A2:F2"/>
  </mergeCells>
  <conditionalFormatting sqref="B5:F14">
    <cfRule type="cellIs" priority="1" operator="equal" dxfId="4">
      <formula>"H"</formula>
    </cfRule>
    <cfRule type="cellIs" priority="2" operator="equal" dxfId="1">
      <formula>"M"</formula>
    </cfRule>
    <cfRule type="cellIs" priority="3" operator="equal" dxfId="0">
      <formula>"L"</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22" customWidth="1" min="3" max="3"/>
    <col width="22" customWidth="1" min="4" max="4"/>
    <col width="22" customWidth="1" min="5" max="5"/>
    <col width="22" customWidth="1" min="6" max="6"/>
    <col width="22" customWidth="1" min="7" max="7"/>
    <col width="16" customWidth="1" min="8" max="8"/>
  </cols>
  <sheetData>
    <row r="1">
      <c r="A1" s="1" t="inlineStr">
        <is>
          <t>Matrix F — Proof-of-concept exposure</t>
        </is>
      </c>
    </row>
    <row r="2" ht="32" customHeight="1">
      <c r="A2" s="2" t="inlineStr">
        <is>
          <t>How much each P-test (ETL Proof of Concept and Acceptance) can move a candidate's ratings or gate status: H decisive, M material, L confirmatory. Sequence the PoC by running the H cells first.</t>
        </is>
      </c>
    </row>
    <row r="4">
      <c r="A4" s="3" t="inlineStr">
        <is>
          <t>Test</t>
        </is>
      </c>
      <c r="B4" s="3" t="inlineStr">
        <is>
          <t>Name</t>
        </is>
      </c>
      <c r="C4" s="3" t="inlineStr">
        <is>
          <t>ODI</t>
        </is>
      </c>
      <c r="D4" s="3" t="inlineStr">
        <is>
          <t>PC</t>
        </is>
      </c>
      <c r="E4" s="3" t="inlineStr">
        <is>
          <t>dbt</t>
        </is>
      </c>
      <c r="F4" s="3" t="inlineStr">
        <is>
          <t>CDP</t>
        </is>
      </c>
      <c r="G4" s="3" t="inlineStr">
        <is>
          <t>Spark</t>
        </is>
      </c>
      <c r="H4" s="3" t="inlineStr">
        <is>
          <t>Criterion / gate</t>
        </is>
      </c>
    </row>
    <row r="5">
      <c r="A5" s="14" t="inlineStr">
        <is>
          <t>P01</t>
        </is>
      </c>
      <c r="B5" s="14" t="inlineStr">
        <is>
          <t>Disconnected deployment and operation</t>
        </is>
      </c>
      <c r="C5" s="15" t="inlineStr">
        <is>
          <t>L</t>
        </is>
      </c>
      <c r="D5" s="15" t="inlineStr">
        <is>
          <t>H</t>
        </is>
      </c>
      <c r="E5" s="15" t="inlineStr">
        <is>
          <t>H</t>
        </is>
      </c>
      <c r="F5" s="15" t="inlineStr">
        <is>
          <t>H</t>
        </is>
      </c>
      <c r="G5" s="15" t="inlineStr">
        <is>
          <t>M</t>
        </is>
      </c>
      <c r="H5" s="14" t="inlineStr">
        <is>
          <t>Gate 1</t>
        </is>
      </c>
    </row>
    <row r="6">
      <c r="A6" s="14" t="inlineStr">
        <is>
          <t>P02</t>
        </is>
      </c>
      <c r="B6" s="14" t="inlineStr">
        <is>
          <t>Oracle batch extraction and consistent loading</t>
        </is>
      </c>
      <c r="C6" s="15" t="inlineStr">
        <is>
          <t>H</t>
        </is>
      </c>
      <c r="D6" s="15" t="inlineStr">
        <is>
          <t>M</t>
        </is>
      </c>
      <c r="E6" s="15" t="inlineStr">
        <is>
          <t>M</t>
        </is>
      </c>
      <c r="F6" s="15" t="inlineStr">
        <is>
          <t>M</t>
        </is>
      </c>
      <c r="G6" s="15" t="inlineStr">
        <is>
          <t>H</t>
        </is>
      </c>
      <c r="H6" s="14" t="inlineStr">
        <is>
          <t>03, 05</t>
        </is>
      </c>
    </row>
    <row r="7">
      <c r="A7" s="14" t="inlineStr">
        <is>
          <t>P03</t>
        </is>
      </c>
      <c r="B7" s="14" t="inlineStr">
        <is>
          <t>File and API ingestion</t>
        </is>
      </c>
      <c r="C7" s="15" t="inlineStr">
        <is>
          <t>M</t>
        </is>
      </c>
      <c r="D7" s="15" t="inlineStr">
        <is>
          <t>M</t>
        </is>
      </c>
      <c r="E7" s="15" t="inlineStr">
        <is>
          <t>H</t>
        </is>
      </c>
      <c r="F7" s="15" t="inlineStr">
        <is>
          <t>M</t>
        </is>
      </c>
      <c r="G7" s="15" t="inlineStr">
        <is>
          <t>H</t>
        </is>
      </c>
      <c r="H7" s="14" t="inlineStr">
        <is>
          <t>03</t>
        </is>
      </c>
    </row>
    <row r="8">
      <c r="A8" s="14" t="inlineStr">
        <is>
          <t>P04</t>
        </is>
      </c>
      <c r="B8" s="14" t="inlineStr">
        <is>
          <t>Incremental changes and deletes</t>
        </is>
      </c>
      <c r="C8" s="15" t="inlineStr">
        <is>
          <t>M</t>
        </is>
      </c>
      <c r="D8" s="15" t="inlineStr">
        <is>
          <t>M</t>
        </is>
      </c>
      <c r="E8" s="15" t="inlineStr">
        <is>
          <t>H</t>
        </is>
      </c>
      <c r="F8" s="15" t="inlineStr">
        <is>
          <t>M</t>
        </is>
      </c>
      <c r="G8" s="15" t="inlineStr">
        <is>
          <t>H</t>
        </is>
      </c>
      <c r="H8" s="14" t="inlineStr">
        <is>
          <t>05</t>
        </is>
      </c>
    </row>
    <row r="9">
      <c r="A9" s="14" t="inlineStr">
        <is>
          <t>P05</t>
        </is>
      </c>
      <c r="B9" s="14" t="inlineStr">
        <is>
          <t>Historical correction and schema change</t>
        </is>
      </c>
      <c r="C9" s="15" t="inlineStr">
        <is>
          <t>M</t>
        </is>
      </c>
      <c r="D9" s="15" t="inlineStr">
        <is>
          <t>M</t>
        </is>
      </c>
      <c r="E9" s="15" t="inlineStr">
        <is>
          <t>H</t>
        </is>
      </c>
      <c r="F9" s="15" t="inlineStr">
        <is>
          <t>M</t>
        </is>
      </c>
      <c r="G9" s="15" t="inlineStr">
        <is>
          <t>M</t>
        </is>
      </c>
      <c r="H9" s="14" t="inlineStr">
        <is>
          <t>05</t>
        </is>
      </c>
    </row>
    <row r="10">
      <c r="A10" s="14" t="inlineStr">
        <is>
          <t>P06</t>
        </is>
      </c>
      <c r="B10" s="14" t="inlineStr">
        <is>
          <t>Reconciliation and report semantics</t>
        </is>
      </c>
      <c r="C10" s="15" t="inlineStr">
        <is>
          <t>M</t>
        </is>
      </c>
      <c r="D10" s="15" t="inlineStr">
        <is>
          <t>H</t>
        </is>
      </c>
      <c r="E10" s="15" t="inlineStr">
        <is>
          <t>M</t>
        </is>
      </c>
      <c r="F10" s="15" t="inlineStr">
        <is>
          <t>H</t>
        </is>
      </c>
      <c r="G10" s="15" t="inlineStr">
        <is>
          <t>H</t>
        </is>
      </c>
      <c r="H10" s="14" t="inlineStr">
        <is>
          <t>05, gate 3</t>
        </is>
      </c>
    </row>
    <row r="11">
      <c r="A11" s="14" t="inlineStr">
        <is>
          <t>P07</t>
        </is>
      </c>
      <c r="B11" s="14" t="inlineStr">
        <is>
          <t>Partial failure, restart and replay</t>
        </is>
      </c>
      <c r="C11" s="15" t="inlineStr">
        <is>
          <t>H</t>
        </is>
      </c>
      <c r="D11" s="15" t="inlineStr">
        <is>
          <t>H</t>
        </is>
      </c>
      <c r="E11" s="15" t="inlineStr">
        <is>
          <t>M</t>
        </is>
      </c>
      <c r="F11" s="15" t="inlineStr">
        <is>
          <t>H</t>
        </is>
      </c>
      <c r="G11" s="15" t="inlineStr">
        <is>
          <t>H</t>
        </is>
      </c>
      <c r="H11" s="14" t="inlineStr">
        <is>
          <t>06, gate 3</t>
        </is>
      </c>
    </row>
    <row r="12">
      <c r="A12" s="14" t="inlineStr">
        <is>
          <t>P08</t>
        </is>
      </c>
      <c r="B12" s="14" t="inlineStr">
        <is>
          <t>Restore and disaster recovery</t>
        </is>
      </c>
      <c r="C12" s="15" t="inlineStr">
        <is>
          <t>M</t>
        </is>
      </c>
      <c r="D12" s="15" t="inlineStr">
        <is>
          <t>M</t>
        </is>
      </c>
      <c r="E12" s="15" t="inlineStr">
        <is>
          <t>H</t>
        </is>
      </c>
      <c r="F12" s="15" t="inlineStr">
        <is>
          <t>H</t>
        </is>
      </c>
      <c r="G12" s="15" t="inlineStr">
        <is>
          <t>H</t>
        </is>
      </c>
      <c r="H12" s="14" t="inlineStr">
        <is>
          <t>06, 09</t>
        </is>
      </c>
    </row>
    <row r="13">
      <c r="A13" s="14" t="inlineStr">
        <is>
          <t>P09</t>
        </is>
      </c>
      <c r="B13" s="14" t="inlineStr">
        <is>
          <t>Controlled report, API and file delivery</t>
        </is>
      </c>
      <c r="C13" s="15" t="inlineStr">
        <is>
          <t>M</t>
        </is>
      </c>
      <c r="D13" s="15" t="inlineStr">
        <is>
          <t>M</t>
        </is>
      </c>
      <c r="E13" s="15" t="inlineStr">
        <is>
          <t>M</t>
        </is>
      </c>
      <c r="F13" s="15" t="inlineStr">
        <is>
          <t>H</t>
        </is>
      </c>
      <c r="G13" s="15" t="inlineStr">
        <is>
          <t>H</t>
        </is>
      </c>
      <c r="H13" s="14" t="inlineStr">
        <is>
          <t>06</t>
        </is>
      </c>
    </row>
    <row r="14">
      <c r="A14" s="14" t="inlineStr">
        <is>
          <t>P10</t>
        </is>
      </c>
      <c r="B14" s="14" t="inlineStr">
        <is>
          <t>Concurrency, scale and cost of movement</t>
        </is>
      </c>
      <c r="C14" s="15" t="inlineStr">
        <is>
          <t>H</t>
        </is>
      </c>
      <c r="D14" s="15" t="inlineStr">
        <is>
          <t>H</t>
        </is>
      </c>
      <c r="E14" s="15" t="inlineStr">
        <is>
          <t>H</t>
        </is>
      </c>
      <c r="F14" s="15" t="inlineStr">
        <is>
          <t>H</t>
        </is>
      </c>
      <c r="G14" s="15" t="inlineStr">
        <is>
          <t>H</t>
        </is>
      </c>
      <c r="H14" s="14" t="inlineStr">
        <is>
          <t>04, 10</t>
        </is>
      </c>
    </row>
    <row r="15">
      <c r="A15" s="14" t="inlineStr">
        <is>
          <t>P11</t>
        </is>
      </c>
      <c r="B15" s="14" t="inlineStr">
        <is>
          <t>Security, entitlement and audit</t>
        </is>
      </c>
      <c r="C15" s="15" t="inlineStr">
        <is>
          <t>M</t>
        </is>
      </c>
      <c r="D15" s="15" t="inlineStr">
        <is>
          <t>M</t>
        </is>
      </c>
      <c r="E15" s="15" t="inlineStr">
        <is>
          <t>H</t>
        </is>
      </c>
      <c r="F15" s="15" t="inlineStr">
        <is>
          <t>M</t>
        </is>
      </c>
      <c r="G15" s="15" t="inlineStr">
        <is>
          <t>H</t>
        </is>
      </c>
      <c r="H15" s="14" t="inlineStr">
        <is>
          <t>07, gate 2</t>
        </is>
      </c>
    </row>
    <row r="16">
      <c r="A16" s="14" t="inlineStr">
        <is>
          <t>P12</t>
        </is>
      </c>
      <c r="B16" s="14" t="inlineStr">
        <is>
          <t>Release, upgrades, support and handover</t>
        </is>
      </c>
      <c r="C16" s="15" t="inlineStr">
        <is>
          <t>M</t>
        </is>
      </c>
      <c r="D16" s="15" t="inlineStr">
        <is>
          <t>H</t>
        </is>
      </c>
      <c r="E16" s="15" t="inlineStr">
        <is>
          <t>H</t>
        </is>
      </c>
      <c r="F16" s="15" t="inlineStr">
        <is>
          <t>H</t>
        </is>
      </c>
      <c r="G16" s="15" t="inlineStr">
        <is>
          <t>H</t>
        </is>
      </c>
      <c r="H16" s="14" t="inlineStr">
        <is>
          <t>09, gate 2</t>
        </is>
      </c>
    </row>
    <row r="17">
      <c r="A17" s="14" t="n"/>
      <c r="B17" s="18" t="inlineStr">
        <is>
          <t>Count of H (run these first)</t>
        </is>
      </c>
      <c r="C17" s="28">
        <f>COUNTIF(C$5:C$16,"H")</f>
        <v/>
      </c>
      <c r="D17" s="28">
        <f>COUNTIF(D$5:D$16,"H")</f>
        <v/>
      </c>
      <c r="E17" s="28">
        <f>COUNTIF(E$5:E$16,"H")</f>
        <v/>
      </c>
      <c r="F17" s="28">
        <f>COUNTIF(F$5:F$16,"H")</f>
        <v/>
      </c>
      <c r="G17" s="28">
        <f>COUNTIF(G$5:G$16,"H")</f>
        <v/>
      </c>
      <c r="H17" s="14" t="n"/>
    </row>
    <row r="18" ht="110" customHeight="1">
      <c r="A18" s="14" t="n"/>
      <c r="B18" s="18" t="inlineStr">
        <is>
          <t>Decisive PoC (single run)</t>
        </is>
      </c>
      <c r="C18" s="14" t="inlineStr">
        <is>
          <t>Standby + file load, late correction, kill after partial commit, replay with unchanged totals</t>
        </is>
      </c>
      <c r="D18" s="14" t="inlineStr">
        <is>
          <t>Complex report mapping under no/partial/full pushdown with reject, duplicate, outage</t>
        </is>
      </c>
      <c r="E18" s="14" t="inlineStr">
        <is>
          <t>Incremental + snapshot + hard delete + failing test on local Exadata; Automic → ingestion → dbt → publish, egress blocked</t>
        </is>
      </c>
      <c r="F18" s="14" t="inlineStr">
        <is>
          <t>Only after scope justification: source → cluster → Oracle with failed worker and target outage</t>
        </is>
      </c>
      <c r="G18" s="14" t="inlineStr">
        <is>
          <t>Only for a justified workload: executor failure during JDBC writes; prove dedup and atomic visibility</t>
        </is>
      </c>
      <c r="H18" s="14" t="n"/>
    </row>
  </sheetData>
  <mergeCells count="1">
    <mergeCell ref="A2:H2"/>
  </mergeCells>
  <conditionalFormatting sqref="C5:G16">
    <cfRule type="cellIs" priority="1" operator="equal" dxfId="4">
      <formula>"H"</formula>
    </cfRule>
    <cfRule type="cellIs" priority="2" operator="equal" dxfId="1">
      <formula>"M"</formula>
    </cfRule>
    <cfRule type="cellIs" priority="3" operator="equal" dxfId="0">
      <formula>"L"</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6" customWidth="1" min="1" max="1"/>
    <col width="30" customWidth="1" min="2" max="2"/>
    <col width="30" customWidth="1" min="3" max="3"/>
    <col width="30" customWidth="1" min="4" max="4"/>
    <col width="30" customWidth="1" min="5" max="5"/>
    <col width="30" customWidth="1" min="6" max="6"/>
  </cols>
  <sheetData>
    <row r="1">
      <c r="A1" s="1" t="inlineStr">
        <is>
          <t>Matrix G — Evidence confidence</t>
        </is>
      </c>
    </row>
    <row r="2">
      <c r="A2" s="2" t="inlineStr">
        <is>
          <t>Confidence in the desk evidence behind each dimension. Cost has no evidence for any candidate.</t>
        </is>
      </c>
    </row>
    <row r="4">
      <c r="A4" s="3" t="inlineStr">
        <is>
          <t>Dimension</t>
        </is>
      </c>
      <c r="B4" s="3" t="inlineStr">
        <is>
          <t>Oracle ODI</t>
        </is>
      </c>
      <c r="C4" s="3" t="inlineStr">
        <is>
          <t>Informatica PowerCenter</t>
        </is>
      </c>
      <c r="D4" s="3" t="inlineStr">
        <is>
          <t>dbt Core v1 + Oracle</t>
        </is>
      </c>
      <c r="E4" s="3" t="inlineStr">
        <is>
          <t>Cloudera (on premises)</t>
        </is>
      </c>
      <c r="F4" s="3" t="inlineStr">
        <is>
          <t>Apache Spark (on premises)</t>
        </is>
      </c>
    </row>
    <row r="5">
      <c r="A5" s="14" t="inlineStr">
        <is>
          <t>Product capability (documentation)</t>
        </is>
      </c>
      <c r="B5" s="15" t="inlineStr">
        <is>
          <t>Medium–high</t>
        </is>
      </c>
      <c r="C5" s="15" t="inlineStr">
        <is>
          <t>Medium (some pages reachable only via index)</t>
        </is>
      </c>
      <c r="D5" s="15" t="inlineStr">
        <is>
          <t>Medium</t>
        </is>
      </c>
      <c r="E5" s="15" t="inlineStr">
        <is>
          <t>Medium</t>
        </is>
      </c>
      <c r="F5" s="15" t="inlineStr">
        <is>
          <t>High</t>
        </is>
      </c>
    </row>
    <row r="6">
      <c r="A6" s="14" t="inlineStr">
        <is>
          <t>Offered licensing / lifecycle</t>
        </is>
      </c>
      <c r="B6" s="15" t="inlineStr">
        <is>
          <t>Medium (quote required)</t>
        </is>
      </c>
      <c r="C6" s="15" t="inlineStr">
        <is>
          <t>Low</t>
        </is>
      </c>
      <c r="D6" s="15" t="inlineStr">
        <is>
          <t>Medium (open source)</t>
        </is>
      </c>
      <c r="E6" s="15" t="inlineStr">
        <is>
          <t>Low (bundle unpriced)</t>
        </is>
      </c>
      <c r="F6" s="15" t="inlineStr">
        <is>
          <t>Medium</t>
        </is>
      </c>
    </row>
    <row r="7">
      <c r="A7" s="14" t="inlineStr">
        <is>
          <t>Bank fit / operations</t>
        </is>
      </c>
      <c r="B7" s="15" t="inlineStr">
        <is>
          <t>Medium</t>
        </is>
      </c>
      <c r="C7" s="15" t="inlineStr">
        <is>
          <t>Low</t>
        </is>
      </c>
      <c r="D7" s="15" t="inlineStr">
        <is>
          <t>Low (adapter support, ops ownership)</t>
        </is>
      </c>
      <c r="E7" s="15" t="inlineStr">
        <is>
          <t>Low (staffing)</t>
        </is>
      </c>
      <c r="F7" s="15" t="inlineStr">
        <is>
          <t>Low (assembled service)</t>
        </is>
      </c>
    </row>
    <row r="8">
      <c r="A8" s="14" t="inlineStr">
        <is>
          <t>Cost</t>
        </is>
      </c>
      <c r="B8" s="15" t="inlineStr">
        <is>
          <t>None</t>
        </is>
      </c>
      <c r="C8" s="15" t="inlineStr">
        <is>
          <t>None</t>
        </is>
      </c>
      <c r="D8" s="15" t="inlineStr">
        <is>
          <t>None</t>
        </is>
      </c>
      <c r="E8" s="15" t="inlineStr">
        <is>
          <t>None</t>
        </is>
      </c>
      <c r="F8" s="15" t="inlineStr">
        <is>
          <t>None</t>
        </is>
      </c>
    </row>
    <row r="9">
      <c r="A9" s="14" t="inlineStr">
        <is>
          <t>Gate status</t>
        </is>
      </c>
      <c r="B9" s="15" t="inlineStr">
        <is>
          <t>Pending ×3</t>
        </is>
      </c>
      <c r="C9" s="15" t="inlineStr">
        <is>
          <t>Pending ×3</t>
        </is>
      </c>
      <c r="D9" s="15" t="inlineStr">
        <is>
          <t>Pending ×3</t>
        </is>
      </c>
      <c r="E9" s="15" t="inlineStr">
        <is>
          <t>Pending ×3</t>
        </is>
      </c>
      <c r="F9" s="15" t="inlineStr">
        <is>
          <t>Pending ×3</t>
        </is>
      </c>
    </row>
  </sheetData>
  <mergeCells count="1">
    <mergeCell ref="A2:F2"/>
  </mergeCells>
  <conditionalFormatting sqref="B5:F9">
    <cfRule type="expression" priority="1" dxfId="0">
      <formula>LEFT(B5,4)="High"</formula>
    </cfRule>
    <cfRule type="expression" priority="2" dxfId="1">
      <formula>LEFT(B5,6)="Medium"</formula>
    </cfRule>
    <cfRule type="expression" priority="3" dxfId="2">
      <formula>LEFT(B5,3)="Low"</formula>
    </cfRule>
    <cfRule type="expression" priority="4" dxfId="4">
      <formula>LEFT(B5,4)="None"</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2026-10-13T13:19:57Z</dcterms:created>
  <dcterms:modified xsi:type="dcterms:W3CDTF">2026-10-13T13:19:57Z</dcterms:modified>
</cp:coreProperties>
</file>