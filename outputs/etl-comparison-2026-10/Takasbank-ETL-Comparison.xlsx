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eria &amp; Weights" sheetId="2" state="visible" r:id="rId2"/>
    <sheet name="Scoring Matrix" sheetId="3" state="visible" r:id="rId3"/>
    <sheet name="Gates" sheetId="4" state="visible" r:id="rId4"/>
    <sheet name="Sensitivity" sheetId="5" state="visible" r:id="rId5"/>
    <sheet name="Capability Detail" sheetId="6" state="visible" r:id="rId6"/>
    <sheet name="Real-time &amp; Latency" sheetId="7" state="visible" r:id="rId7"/>
    <sheet name="Use-Case Fit" sheetId="8" state="visible" r:id="rId8"/>
    <sheet name="TCO Drivers" sheetId="9" state="visible" r:id="rId9"/>
    <sheet name="Risks" sheetId="10" state="visible" r:id="rId10"/>
    <sheet name="PoC Plan" sheetId="11" state="visible" r:id="rId11"/>
    <sheet name="Context &amp; Requirements" sheetId="12" state="visible" r:id="rId12"/>
    <sheet name="Sources" sheetId="13" state="visible" r:id="rId13"/>
  </sheets>
  <definedNames>
    <definedName name="_xlnm._FilterDatabase" localSheetId="9" hidden="1">'Risks'!$A$4:$E$18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95959"/>
    </font>
    <font>
      <b val="1"/>
      <color rgb="00FFFFFF"/>
    </font>
    <font>
      <b val="1"/>
    </font>
    <font>
      <b val="1"/>
      <color rgb="001F3A5F"/>
      <sz val="12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Weighted total by tool (base weights, 0-100)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'Scoring Matrix'!$C$4:$G$4</f>
            </numRef>
          </cat>
          <val>
            <numRef>
              <f>'Scoring Matrix'!$C$17:$G$17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ETL tool (as deployable stack)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Weighted score (0-100)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Weighted total by scenario and tool (0-100)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'Sensitivity'!B4</f>
            </strRef>
          </tx>
          <spPr>
            <a:ln>
              <a:prstDash val="solid"/>
            </a:ln>
          </spPr>
          <cat>
            <numRef>
              <f>'Sensitivity'!$A$5:$A$8</f>
            </numRef>
          </cat>
          <val>
            <numRef>
              <f>'Sensitivity'!$B$5:$B$8</f>
            </numRef>
          </val>
        </ser>
        <ser>
          <idx val="1"/>
          <order val="1"/>
          <tx>
            <strRef>
              <f>'Sensitivity'!C4</f>
            </strRef>
          </tx>
          <spPr>
            <a:ln>
              <a:prstDash val="solid"/>
            </a:ln>
          </spPr>
          <cat>
            <numRef>
              <f>'Sensitivity'!$A$5:$A$8</f>
            </numRef>
          </cat>
          <val>
            <numRef>
              <f>'Sensitivity'!$C$5:$C$8</f>
            </numRef>
          </val>
        </ser>
        <ser>
          <idx val="2"/>
          <order val="2"/>
          <tx>
            <strRef>
              <f>'Sensitivity'!D4</f>
            </strRef>
          </tx>
          <spPr>
            <a:ln>
              <a:prstDash val="solid"/>
            </a:ln>
          </spPr>
          <cat>
            <numRef>
              <f>'Sensitivity'!$A$5:$A$8</f>
            </numRef>
          </cat>
          <val>
            <numRef>
              <f>'Sensitivity'!$D$5:$D$8</f>
            </numRef>
          </val>
        </ser>
        <ser>
          <idx val="3"/>
          <order val="3"/>
          <tx>
            <strRef>
              <f>'Sensitivity'!E4</f>
            </strRef>
          </tx>
          <spPr>
            <a:ln>
              <a:prstDash val="solid"/>
            </a:ln>
          </spPr>
          <cat>
            <numRef>
              <f>'Sensitivity'!$A$5:$A$8</f>
            </numRef>
          </cat>
          <val>
            <numRef>
              <f>'Sensitivity'!$E$5:$E$8</f>
            </numRef>
          </val>
        </ser>
        <ser>
          <idx val="4"/>
          <order val="4"/>
          <tx>
            <strRef>
              <f>'Sensitivity'!F4</f>
            </strRef>
          </tx>
          <spPr>
            <a:ln>
              <a:prstDash val="solid"/>
            </a:ln>
          </spPr>
          <cat>
            <numRef>
              <f>'Sensitivity'!$A$5:$A$8</f>
            </numRef>
          </cat>
          <val>
            <numRef>
              <f>'Sensitivity'!$F$5:$F$8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Weighting 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Weighted score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logs.oracle.com/fusionmiddlewaresupport/oracle-fusion-middleware-statement-of-direction-is-now-available" TargetMode="External" Id="rId1" /><Relationship Type="http://schemas.openxmlformats.org/officeDocument/2006/relationships/hyperlink" Target="https://docs.oracle.com/en/middleware/fusion-middleware/data-integrator/14.1.2/odiad/whats-new-oracle-data-integrator.html" TargetMode="External" Id="rId2" /><Relationship Type="http://schemas.openxmlformats.org/officeDocument/2006/relationships/hyperlink" Target="https://docs.oracle.com/en/middleware/fusion-middleware/fmwlc/data-integration-products.html" TargetMode="External" Id="rId3" /><Relationship Type="http://schemas.openxmlformats.org/officeDocument/2006/relationships/hyperlink" Target="https://redresscompliance.com/oracle-data-integrator-licensing" TargetMode="External" Id="rId4" /><Relationship Type="http://schemas.openxmlformats.org/officeDocument/2006/relationships/hyperlink" Target="https://docs.oracle.com/middleware/odi121301/odi/develop-connectivity-km/ogg.htm" TargetMode="External" Id="rId5" /><Relationship Type="http://schemas.openxmlformats.org/officeDocument/2006/relationships/hyperlink" Target="https://docs.oracle.com/en/middleware/goldengate/core/21.3/ogglc/oracle-goldengate-licensing-guide.pdf" TargetMode="External" Id="rId6" /><Relationship Type="http://schemas.openxmlformats.org/officeDocument/2006/relationships/hyperlink" Target="https://network.informatica.com/s/question/0D5VM00000m2Kag0AE/informatica-1056" TargetMode="External" Id="rId7" /><Relationship Type="http://schemas.openxmlformats.org/officeDocument/2006/relationships/hyperlink" Target="https://knowledge.informatica.com/s/article/000245032?language=en_US" TargetMode="External" Id="rId8" /><Relationship Type="http://schemas.openxmlformats.org/officeDocument/2006/relationships/hyperlink" Target="https://docs.informatica.com/content/dam/source/GUID-1/GUID-1A371312-AE91-482A-ABF1-D612D25A99D6/19/en/CDIPC_April2026_WhatSNew_en.pdf" TargetMode="External" Id="rId9" /><Relationship Type="http://schemas.openxmlformats.org/officeDocument/2006/relationships/hyperlink" Target="https://investor.salesforce.com/news/news-details/2025/Salesforce-Completes-Acquisition-of-Informatica/default.aspx" TargetMode="External" Id="rId10" /><Relationship Type="http://schemas.openxmlformats.org/officeDocument/2006/relationships/hyperlink" Target="https://www.getdbt.com/blog/fivetran-dbt-labs-complete-merger-to-create-the-data-infrastructure-for-trusted-ai-agents" TargetMode="External" Id="rId11" /><Relationship Type="http://schemas.openxmlformats.org/officeDocument/2006/relationships/hyperlink" Target="https://docs.getdbt.com/docs/dbt-licensing" TargetMode="External" Id="rId12" /><Relationship Type="http://schemas.openxmlformats.org/officeDocument/2006/relationships/hyperlink" Target="https://docs.getdbt.com/docs/fusion/fusion-availability" TargetMode="External" Id="rId13" /><Relationship Type="http://schemas.openxmlformats.org/officeDocument/2006/relationships/hyperlink" Target="https://github.com/oracle/dbt-oracle/releases" TargetMode="External" Id="rId14" /><Relationship Type="http://schemas.openxmlformats.org/officeDocument/2006/relationships/hyperlink" Target="https://endoflife.date/dbt-core" TargetMode="External" Id="rId15" /><Relationship Type="http://schemas.openxmlformats.org/officeDocument/2006/relationships/hyperlink" Target="https://www.cloudera.com/services-and-support/support-lifecycle-policy.html" TargetMode="External" Id="rId16" /><Relationship Type="http://schemas.openxmlformats.org/officeDocument/2006/relationships/hyperlink" Target="https://docs.cloudera.com/cdp-private-cloud/latest/release-summaries/index.html" TargetMode="External" Id="rId17" /><Relationship Type="http://schemas.openxmlformats.org/officeDocument/2006/relationships/hyperlink" Target="https://www.cloudera.com/legal/commercial-terms-and-conditions/cloudera-licensed-metrics.html" TargetMode="External" Id="rId18" /><Relationship Type="http://schemas.openxmlformats.org/officeDocument/2006/relationships/hyperlink" Target="https://spark.apache.org/releases/spark-release-4-2-0.html" TargetMode="External" Id="rId19" /><Relationship Type="http://schemas.openxmlformats.org/officeDocument/2006/relationships/hyperlink" Target="https://www.databricks.com/blog/introducing-apache-sparkr-41" TargetMode="External" Id="rId20" /><Relationship Type="http://schemas.openxmlformats.org/officeDocument/2006/relationships/hyperlink" Target="https://debezium.io/documentation/reference/stable/connectors/oracle.html" TargetMode="External" Id="rId21" /><Relationship Type="http://schemas.openxmlformats.org/officeDocument/2006/relationships/hyperlink" Target="https://docs.oracle.com/en/middleware/goldengate/free/23/uggfe/frequently-asked-questions.htm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</cols>
  <sheetData>
    <row r="1">
      <c r="A1" s="1" t="inlineStr">
        <is>
          <t>Takasbank on-prem EDW - ETL tool comparison</t>
        </is>
      </c>
    </row>
    <row r="2">
      <c r="A2" s="2" t="inlineStr">
        <is>
          <t>ODI, Informatica PowerCenter, dbt, Cloudera Data Platform, Apache Spark  |  as of 2026-10-14</t>
        </is>
      </c>
    </row>
    <row r="4">
      <c r="A4" s="3" t="inlineStr">
        <is>
          <t>Recommendation</t>
        </is>
      </c>
    </row>
    <row r="5" ht="30" customHeight="1">
      <c r="A5" s="4" t="inlineStr">
        <is>
          <t>1. Select Oracle Data Integrator 14c as the enterprise ELT platform: pushdown into the existing Exadata, PL/SQL-friendly, supported to 2030/2033.</t>
        </is>
      </c>
    </row>
    <row r="6" ht="30" customHeight="1">
      <c r="A6" s="4" t="inlineStr">
        <is>
          <t>2. Serve near-real-time operational ('izleme') reports from the Kale Active Data Guard read-only standby, not from an ETL tool.</t>
        </is>
      </c>
    </row>
    <row r="7" ht="30" customHeight="1">
      <c r="A7" s="4" t="inlineStr">
        <is>
          <t>3. Use GoldenGate (via ODI JKM) only for data products whose S0 SLA is proven, after the licence question is settled.</t>
        </is>
      </c>
    </row>
    <row r="8" ht="30" customHeight="1">
      <c r="A8" s="4" t="inlineStr">
        <is>
          <t>4. Keep dbt-core + dbt-oracle as the qualified alternative and procurement-free fallback; run the PoC head-to-head ODI vs dbt.</t>
        </is>
      </c>
    </row>
    <row r="9" ht="30" customHeight="1">
      <c r="A9" s="4" t="inlineStr">
        <is>
          <t>5. Exclude PowerCenter (fails support-horizon gate; successor needs a cloud control plane). Do not build the core DWH on Cloudera or Spark.</t>
        </is>
      </c>
    </row>
    <row r="11">
      <c r="A11" s="5" t="inlineStr">
        <is>
          <t>Metric</t>
        </is>
      </c>
      <c r="B11" s="5" t="inlineStr">
        <is>
          <t>ODI</t>
        </is>
      </c>
      <c r="C11" s="5" t="inlineStr">
        <is>
          <t>PowerCenter</t>
        </is>
      </c>
      <c r="D11" s="5" t="inlineStr">
        <is>
          <t>dbt</t>
        </is>
      </c>
      <c r="E11" s="5" t="inlineStr">
        <is>
          <t>CDP</t>
        </is>
      </c>
      <c r="F11" s="5" t="inlineStr">
        <is>
          <t>Spark</t>
        </is>
      </c>
    </row>
    <row r="12">
      <c r="A12" s="6" t="inlineStr">
        <is>
          <t>Weighted total (base)</t>
        </is>
      </c>
      <c r="B12" s="7">
        <f>'Scoring Matrix'!C17</f>
        <v/>
      </c>
      <c r="C12" s="7">
        <f>'Scoring Matrix'!D17</f>
        <v/>
      </c>
      <c r="D12" s="7">
        <f>'Scoring Matrix'!E17</f>
        <v/>
      </c>
      <c r="E12" s="7">
        <f>'Scoring Matrix'!F17</f>
        <v/>
      </c>
      <c r="F12" s="7">
        <f>'Scoring Matrix'!G17</f>
        <v/>
      </c>
    </row>
    <row r="13">
      <c r="A13" s="6" t="inlineStr">
        <is>
          <t>Rank (base)</t>
        </is>
      </c>
      <c r="B13" s="7">
        <f>'Scoring Matrix'!C18</f>
        <v/>
      </c>
      <c r="C13" s="7">
        <f>'Scoring Matrix'!D18</f>
        <v/>
      </c>
      <c r="D13" s="7">
        <f>'Scoring Matrix'!E18</f>
        <v/>
      </c>
      <c r="E13" s="7">
        <f>'Scoring Matrix'!F18</f>
        <v/>
      </c>
      <c r="F13" s="7">
        <f>'Scoring Matrix'!G18</f>
        <v/>
      </c>
    </row>
    <row r="14">
      <c r="A14" s="6" t="inlineStr">
        <is>
          <t>Knock-out gates</t>
        </is>
      </c>
      <c r="B14" s="7">
        <f>Gates!C8</f>
        <v/>
      </c>
      <c r="C14" s="7">
        <f>Gates!D8</f>
        <v/>
      </c>
      <c r="D14" s="7">
        <f>Gates!E8</f>
        <v/>
      </c>
      <c r="E14" s="7">
        <f>Gates!F8</f>
        <v/>
      </c>
      <c r="F14" s="7">
        <f>Gates!G8</f>
        <v/>
      </c>
    </row>
    <row r="15">
      <c r="A15" s="6" t="inlineStr">
        <is>
          <t>Average use-case fit (1-5)</t>
        </is>
      </c>
      <c r="B15" s="7">
        <f>'Use-Case Fit'!D12</f>
        <v/>
      </c>
      <c r="C15" s="7">
        <f>'Use-Case Fit'!E12</f>
        <v/>
      </c>
      <c r="D15" s="7">
        <f>'Use-Case Fit'!F12</f>
        <v/>
      </c>
      <c r="E15" s="7">
        <f>'Use-Case Fit'!G12</f>
        <v/>
      </c>
      <c r="F15" s="7">
        <f>'Use-Case Fit'!H12</f>
        <v/>
      </c>
    </row>
    <row r="16">
      <c r="A16" s="6" t="inlineStr">
        <is>
          <t>5-year TCO band</t>
        </is>
      </c>
      <c r="B16" s="7">
        <f>'TCO Drivers'!B11</f>
        <v/>
      </c>
      <c r="C16" s="7">
        <f>'TCO Drivers'!C11</f>
        <v/>
      </c>
      <c r="D16" s="7">
        <f>'TCO Drivers'!D11</f>
        <v/>
      </c>
      <c r="E16" s="7">
        <f>'TCO Drivers'!E11</f>
        <v/>
      </c>
      <c r="F16" s="7">
        <f>'TCO Drivers'!F11</f>
        <v/>
      </c>
    </row>
    <row r="17">
      <c r="A17" s="6" t="inlineStr">
        <is>
          <t>Weighted total (Oracle-team-first)</t>
        </is>
      </c>
      <c r="B17" s="7">
        <f>Sensitivity!B6</f>
        <v/>
      </c>
      <c r="C17" s="7">
        <f>Sensitivity!C6</f>
        <v/>
      </c>
      <c r="D17" s="7">
        <f>Sensitivity!D6</f>
        <v/>
      </c>
      <c r="E17" s="7">
        <f>Sensitivity!E6</f>
        <v/>
      </c>
      <c r="F17" s="7">
        <f>Sensitivity!F6</f>
        <v/>
      </c>
    </row>
    <row r="18">
      <c r="A18" s="6" t="inlineStr">
        <is>
          <t>Weighted total (Real-time-first)</t>
        </is>
      </c>
      <c r="B18" s="7">
        <f>Sensitivity!B7</f>
        <v/>
      </c>
      <c r="C18" s="7">
        <f>Sensitivity!C7</f>
        <v/>
      </c>
      <c r="D18" s="7">
        <f>Sensitivity!D7</f>
        <v/>
      </c>
      <c r="E18" s="7">
        <f>Sensitivity!E7</f>
        <v/>
      </c>
      <c r="F18" s="7">
        <f>Sensitivity!F7</f>
        <v/>
      </c>
    </row>
    <row r="19">
      <c r="A19" s="6" t="inlineStr">
        <is>
          <t>Weighted total (Cost-first)</t>
        </is>
      </c>
      <c r="B19" s="7">
        <f>Sensitivity!B8</f>
        <v/>
      </c>
      <c r="C19" s="7">
        <f>Sensitivity!C8</f>
        <v/>
      </c>
      <c r="D19" s="7">
        <f>Sensitivity!D8</f>
        <v/>
      </c>
      <c r="E19" s="7">
        <f>Sensitivity!E8</f>
        <v/>
      </c>
      <c r="F19" s="7">
        <f>Sensitivity!F8</f>
        <v/>
      </c>
    </row>
    <row r="21">
      <c r="A21" s="3" t="inlineStr">
        <is>
          <t>How to use this workbook</t>
        </is>
      </c>
    </row>
    <row r="22" ht="30" customHeight="1">
      <c r="A22" s="4" t="inlineStr">
        <is>
          <t>- Yellow cells are inputs: weights on 'Criteria &amp; Weights', scores on 'Scoring Matrix' and 'Use-Case Fit', PoC results on 'PoC Plan'.</t>
        </is>
      </c>
    </row>
    <row r="23" ht="30" customHeight="1">
      <c r="A23" s="4" t="inlineStr">
        <is>
          <t>- All totals, ranks, gate outcomes and scenario winners are formulas and recalculate on change.</t>
        </is>
      </c>
    </row>
    <row r="24" ht="30" customHeight="1">
      <c r="A24" s="4" t="inlineStr">
        <is>
          <t>- The tools are not like-for-like (suite vs framework vs platform vs engine); each is scored as a deployable stack with its CDC/orchestration companions.</t>
        </is>
      </c>
    </row>
    <row r="25" ht="30" customHeight="1">
      <c r="A25" s="4" t="inlineStr">
        <is>
          <t>- Vault note: Obsidian Vault/Kendi Notlarım/ETL Araç Karşılaştırması - Ekim 2026.md. Source of numbers: comparison_data.py.</t>
        </is>
      </c>
    </row>
  </sheetData>
  <mergeCells count="9">
    <mergeCell ref="A9:G9"/>
    <mergeCell ref="A8:G8"/>
    <mergeCell ref="A6:G6"/>
    <mergeCell ref="A22:G22"/>
    <mergeCell ref="A24:G24"/>
    <mergeCell ref="A7:G7"/>
    <mergeCell ref="A25:G25"/>
    <mergeCell ref="A5:G5"/>
    <mergeCell ref="A23:G23"/>
  </mergeCells>
  <conditionalFormatting sqref="B14:F14">
    <cfRule type="cellIs" priority="1" operator="equal" dxfId="0">
      <formula>"Fail"</formula>
    </cfRule>
    <cfRule type="cellIs" priority="2" operator="equal" dxfId="1">
      <formula>"Conditional"</formula>
    </cfRule>
    <cfRule type="cellIs" priority="3" operator="equal" dxfId="2">
      <formula>"Pass"</formula>
    </cfRule>
  </conditionalFormatting>
  <conditionalFormatting sqref="B12:F12">
    <cfRule type="colorScale" priority="4">
      <colorScale>
        <cfvo type="num" val="40"/>
        <cfvo type="num" val="60"/>
        <cfvo type="num" val="80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7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Evaluation criteria and weights</t>
        </is>
      </c>
    </row>
    <row r="2">
      <c r="A2" s="2" t="inlineStr">
        <is>
          <t>Yellow cells are inputs. Base weights drive the Scoring Matrix; scenario weights drive the Sensitivity sheet. Each column must sum to 100.</t>
        </is>
      </c>
    </row>
    <row r="4">
      <c r="A4" s="5" t="inlineStr">
        <is>
          <t>#</t>
        </is>
      </c>
      <c r="B4" s="5" t="inlineStr">
        <is>
          <t>Criterion</t>
        </is>
      </c>
      <c r="C4" s="5" t="inlineStr">
        <is>
          <t>What good looks like at Takasbank</t>
        </is>
      </c>
      <c r="D4" s="5" t="inlineStr">
        <is>
          <t>Base (Takasbank profile)</t>
        </is>
      </c>
      <c r="E4" s="5" t="inlineStr">
        <is>
          <t>Oracle-team-first</t>
        </is>
      </c>
      <c r="F4" s="5" t="inlineStr">
        <is>
          <t>Real-time-first</t>
        </is>
      </c>
      <c r="G4" s="5" t="inlineStr">
        <is>
          <t>Cost-first</t>
        </is>
      </c>
    </row>
    <row r="5">
      <c r="A5" s="8" t="n">
        <v>1</v>
      </c>
      <c r="B5" s="8" t="inlineStr">
        <is>
          <t>Exadata / Oracle pushdown and performance</t>
        </is>
      </c>
      <c r="C5" s="8" t="inlineStr">
        <is>
          <t>Runs set-based work inside Exadata (Smart Scan, HCC, parallel DML), handles 2B-row SWIFT and 20M/day takas volumes without a second compute tier.</t>
        </is>
      </c>
      <c r="D5" s="9" t="n">
        <v>14</v>
      </c>
      <c r="E5" s="9" t="n">
        <v>16</v>
      </c>
      <c r="F5" s="9" t="n">
        <v>10</v>
      </c>
      <c r="G5" s="9" t="n">
        <v>12</v>
      </c>
    </row>
    <row r="6">
      <c r="A6" s="8" t="n">
        <v>2</v>
      </c>
      <c r="B6" s="8" t="inlineStr">
        <is>
          <t>Real-time, CDC and operational reporting</t>
        </is>
      </c>
      <c r="C6" s="8" t="inlineStr">
        <is>
          <t>Supports S0 near-real-time and S1 micro-batch for izleme screens and intraday Fon Bilgilendirme without touching prod Kale.</t>
        </is>
      </c>
      <c r="D6" s="9" t="n">
        <v>12</v>
      </c>
      <c r="E6" s="9" t="n">
        <v>8</v>
      </c>
      <c r="F6" s="9" t="n">
        <v>24</v>
      </c>
      <c r="G6" s="9" t="n">
        <v>8</v>
      </c>
    </row>
    <row r="7">
      <c r="A7" s="8" t="n">
        <v>3</v>
      </c>
      <c r="B7" s="8" t="inlineStr">
        <is>
          <t>Security, on-prem and regulatory compliance</t>
        </is>
      </c>
      <c r="C7" s="8" t="inlineStr">
        <is>
          <t>Fully on-prem with no external control plane; BDDK/KVKK/SPK fit; TDE/VPD/redaction respected; security patches through the horizon.</t>
        </is>
      </c>
      <c r="D7" s="9" t="n">
        <v>10</v>
      </c>
      <c r="E7" s="9" t="n">
        <v>10</v>
      </c>
      <c r="F7" s="9" t="n">
        <v>10</v>
      </c>
      <c r="G7" s="9" t="n">
        <v>10</v>
      </c>
    </row>
    <row r="8">
      <c r="A8" s="8" t="n">
        <v>4</v>
      </c>
      <c r="B8" s="8" t="inlineStr">
        <is>
          <t>Governance: lineage, metadata, audit, data quality</t>
        </is>
      </c>
      <c r="C8" s="8" t="inlineStr">
        <is>
          <t>Column-level source-to-report lineage, run lineage, audit trail and data-quality rules for regulatory reports.</t>
        </is>
      </c>
      <c r="D8" s="9" t="n">
        <v>10</v>
      </c>
      <c r="E8" s="9" t="n">
        <v>8</v>
      </c>
      <c r="F8" s="9" t="n">
        <v>8</v>
      </c>
      <c r="G8" s="9" t="n">
        <v>8</v>
      </c>
    </row>
    <row r="9">
      <c r="A9" s="8" t="n">
        <v>5</v>
      </c>
      <c r="B9" s="8" t="inlineStr">
        <is>
          <t>Team skill fit and learning curve</t>
        </is>
      </c>
      <c r="C9" s="8" t="inlineStr">
        <is>
          <t>Usable by an Oracle DBA / PL/SQL team with no DWH/ETL background; hiring market in Turkey.</t>
        </is>
      </c>
      <c r="D9" s="9" t="n">
        <v>10</v>
      </c>
      <c r="E9" s="9" t="n">
        <v>16</v>
      </c>
      <c r="F9" s="9" t="n">
        <v>8</v>
      </c>
      <c r="G9" s="9" t="n">
        <v>10</v>
      </c>
    </row>
    <row r="10">
      <c r="A10" s="8" t="n">
        <v>6</v>
      </c>
      <c r="B10" s="8" t="inlineStr">
        <is>
          <t>Source connectivity</t>
        </is>
      </c>
      <c r="C10" s="8" t="inlineStr">
        <is>
          <t>Kale standby, ARSIV, CekDB, BIST Replica BIDB / Borsa DWH, FTP/CSV, EPIAS web services, possible Postgres/MSSQL.</t>
        </is>
      </c>
      <c r="D10" s="9" t="n">
        <v>8</v>
      </c>
      <c r="E10" s="9" t="n">
        <v>6</v>
      </c>
      <c r="F10" s="9" t="n">
        <v>10</v>
      </c>
      <c r="G10" s="9" t="n">
        <v>6</v>
      </c>
    </row>
    <row r="11">
      <c r="A11" s="8" t="n">
        <v>7</v>
      </c>
      <c r="B11" s="8" t="inlineStr">
        <is>
          <t>Transformation and modelling</t>
        </is>
      </c>
      <c r="C11" s="8" t="inlineStr">
        <is>
          <t>SCD2, bitemporal core, incremental merge, set-based logic, reuse of existing PL/SQL.</t>
        </is>
      </c>
      <c r="D11" s="9" t="n">
        <v>8</v>
      </c>
      <c r="E11" s="9" t="n">
        <v>8</v>
      </c>
      <c r="F11" s="9" t="n">
        <v>6</v>
      </c>
      <c r="G11" s="9" t="n">
        <v>8</v>
      </c>
    </row>
    <row r="12">
      <c r="A12" s="8" t="n">
        <v>8</v>
      </c>
      <c r="B12" s="8" t="inlineStr">
        <is>
          <t>5-year total cost of ownership</t>
        </is>
      </c>
      <c r="C12" s="8" t="inlineStr">
        <is>
          <t>Licence + support + infrastructure + people over five years (higher score = lower cost).</t>
        </is>
      </c>
      <c r="D12" s="9" t="n">
        <v>8</v>
      </c>
      <c r="E12" s="9" t="n">
        <v>8</v>
      </c>
      <c r="F12" s="9" t="n">
        <v>6</v>
      </c>
      <c r="G12" s="9" t="n">
        <v>22</v>
      </c>
    </row>
    <row r="13">
      <c r="A13" s="8" t="n">
        <v>9</v>
      </c>
      <c r="B13" s="8" t="inlineStr">
        <is>
          <t>Operations and orchestration</t>
        </is>
      </c>
      <c r="C13" s="8" t="inlineStr">
        <is>
          <t>Automic integration, gün sonu event triggering, restart from failure, monitoring, without a 24/7 team.</t>
        </is>
      </c>
      <c r="D13" s="9" t="n">
        <v>7</v>
      </c>
      <c r="E13" s="9" t="n">
        <v>8</v>
      </c>
      <c r="F13" s="9" t="n">
        <v>8</v>
      </c>
      <c r="G13" s="9" t="n">
        <v>6</v>
      </c>
    </row>
    <row r="14">
      <c r="A14" s="8" t="n">
        <v>10</v>
      </c>
      <c r="B14" s="8" t="inlineStr">
        <is>
          <t>DevOps: Git, CI/CD, automated tests</t>
        </is>
      </c>
      <c r="C14" s="8" t="inlineStr">
        <is>
          <t>Version control, code review, automated tests and promotion DEV -&gt; TEST -&gt; PREPROD -&gt; PROD.</t>
        </is>
      </c>
      <c r="D14" s="9" t="n">
        <v>6</v>
      </c>
      <c r="E14" s="9" t="n">
        <v>6</v>
      </c>
      <c r="F14" s="9" t="n">
        <v>4</v>
      </c>
      <c r="G14" s="9" t="n">
        <v>5</v>
      </c>
    </row>
    <row r="15">
      <c r="A15" s="8" t="n">
        <v>11</v>
      </c>
      <c r="B15" s="8" t="inlineStr">
        <is>
          <t>Vendor viability, roadmap and local support</t>
        </is>
      </c>
      <c r="C15" s="8" t="inlineStr">
        <is>
          <t>Supported release horizon, roadmap risk, ownership changes, partners in Turkey.</t>
        </is>
      </c>
      <c r="D15" s="9" t="n">
        <v>7</v>
      </c>
      <c r="E15" s="9" t="n">
        <v>6</v>
      </c>
      <c r="F15" s="9" t="n">
        <v>6</v>
      </c>
      <c r="G15" s="9" t="n">
        <v>5</v>
      </c>
    </row>
    <row r="16">
      <c r="B16" s="10" t="inlineStr">
        <is>
          <t>Total (must be 100)</t>
        </is>
      </c>
      <c r="D16" s="11">
        <f>SUM(D5:D15)</f>
        <v/>
      </c>
      <c r="E16" s="11">
        <f>SUM(E5:E15)</f>
        <v/>
      </c>
      <c r="F16" s="11">
        <f>SUM(F5:F15)</f>
        <v/>
      </c>
      <c r="G16" s="11">
        <f>SUM(G5:G15)</f>
        <v/>
      </c>
    </row>
  </sheetData>
  <conditionalFormatting sqref="D16:G16">
    <cfRule type="cellIs" priority="1" operator="notEqual" dxfId="0">
      <formula>100</formula>
    </cfRule>
  </conditionalFormatting>
  <dataValidations count="1">
    <dataValidation sqref="D5:G15" showDropDown="0" showInputMessage="0" showErrorMessage="0" allowBlank="0" error="Weight must be a whole number between 0 and 40" type="whole" operator="between">
      <formula1>0</formula1>
      <formula2>40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Weighted scoring matrix (scores 1-5, base weights)</t>
        </is>
      </c>
    </row>
    <row r="2">
      <c r="A2" s="2" t="inlineStr">
        <is>
          <t>Each tool is scored as a deployable stack incl. required CDC/orchestration companions. Weighted total = SUMPRODUCT(weights, scores) / 5, so 100 = perfect.</t>
        </is>
      </c>
    </row>
    <row r="4">
      <c r="A4" s="5" t="inlineStr">
        <is>
          <t>Criterion</t>
        </is>
      </c>
      <c r="B4" s="5" t="inlineStr">
        <is>
          <t>Weight</t>
        </is>
      </c>
      <c r="C4" s="5" t="inlineStr">
        <is>
          <t>ODI</t>
        </is>
      </c>
      <c r="D4" s="5" t="inlineStr">
        <is>
          <t>PowerCenter</t>
        </is>
      </c>
      <c r="E4" s="5" t="inlineStr">
        <is>
          <t>dbt</t>
        </is>
      </c>
      <c r="F4" s="5" t="inlineStr">
        <is>
          <t>CDP</t>
        </is>
      </c>
      <c r="G4" s="5" t="inlineStr">
        <is>
          <t>Spark</t>
        </is>
      </c>
    </row>
    <row r="5">
      <c r="A5" s="8" t="inlineStr">
        <is>
          <t>Exadata / Oracle pushdown and performance</t>
        </is>
      </c>
      <c r="B5" s="7">
        <f>'Criteria &amp; Weights'!D5</f>
        <v/>
      </c>
      <c r="C5" s="9" t="n">
        <v>5</v>
      </c>
      <c r="D5" s="9" t="n">
        <v>3</v>
      </c>
      <c r="E5" s="9" t="n">
        <v>5</v>
      </c>
      <c r="F5" s="9" t="n">
        <v>2</v>
      </c>
      <c r="G5" s="9" t="n">
        <v>2</v>
      </c>
    </row>
    <row r="6">
      <c r="A6" s="8" t="inlineStr">
        <is>
          <t>Real-time, CDC and operational reporting</t>
        </is>
      </c>
      <c r="B6" s="7">
        <f>'Criteria &amp; Weights'!D6</f>
        <v/>
      </c>
      <c r="C6" s="9" t="n">
        <v>3</v>
      </c>
      <c r="D6" s="9" t="n">
        <v>3</v>
      </c>
      <c r="E6" s="9" t="n">
        <v>2</v>
      </c>
      <c r="F6" s="9" t="n">
        <v>4</v>
      </c>
      <c r="G6" s="9" t="n">
        <v>4</v>
      </c>
    </row>
    <row r="7">
      <c r="A7" s="8" t="inlineStr">
        <is>
          <t>Security, on-prem and regulatory compliance</t>
        </is>
      </c>
      <c r="B7" s="7">
        <f>'Criteria &amp; Weights'!D7</f>
        <v/>
      </c>
      <c r="C7" s="9" t="n">
        <v>4</v>
      </c>
      <c r="D7" s="9" t="n">
        <v>2</v>
      </c>
      <c r="E7" s="9" t="n">
        <v>4</v>
      </c>
      <c r="F7" s="9" t="n">
        <v>4</v>
      </c>
      <c r="G7" s="9" t="n">
        <v>2</v>
      </c>
    </row>
    <row r="8">
      <c r="A8" s="8" t="inlineStr">
        <is>
          <t>Governance: lineage, metadata, audit, data quality</t>
        </is>
      </c>
      <c r="B8" s="7">
        <f>'Criteria &amp; Weights'!D8</f>
        <v/>
      </c>
      <c r="C8" s="9" t="n">
        <v>4</v>
      </c>
      <c r="D8" s="9" t="n">
        <v>4</v>
      </c>
      <c r="E8" s="9" t="n">
        <v>3</v>
      </c>
      <c r="F8" s="9" t="n">
        <v>4</v>
      </c>
      <c r="G8" s="9" t="n">
        <v>2</v>
      </c>
    </row>
    <row r="9">
      <c r="A9" s="8" t="inlineStr">
        <is>
          <t>Team skill fit and learning curve</t>
        </is>
      </c>
      <c r="B9" s="7">
        <f>'Criteria &amp; Weights'!D9</f>
        <v/>
      </c>
      <c r="C9" s="9" t="n">
        <v>4</v>
      </c>
      <c r="D9" s="9" t="n">
        <v>3</v>
      </c>
      <c r="E9" s="9" t="n">
        <v>4</v>
      </c>
      <c r="F9" s="9" t="n">
        <v>1</v>
      </c>
      <c r="G9" s="9" t="n">
        <v>1</v>
      </c>
    </row>
    <row r="10">
      <c r="A10" s="8" t="inlineStr">
        <is>
          <t>Source connectivity</t>
        </is>
      </c>
      <c r="B10" s="7">
        <f>'Criteria &amp; Weights'!D10</f>
        <v/>
      </c>
      <c r="C10" s="9" t="n">
        <v>4</v>
      </c>
      <c r="D10" s="9" t="n">
        <v>5</v>
      </c>
      <c r="E10" s="9" t="n">
        <v>1</v>
      </c>
      <c r="F10" s="9" t="n">
        <v>5</v>
      </c>
      <c r="G10" s="9" t="n">
        <v>3</v>
      </c>
    </row>
    <row r="11">
      <c r="A11" s="8" t="inlineStr">
        <is>
          <t>Transformation and modelling</t>
        </is>
      </c>
      <c r="B11" s="7">
        <f>'Criteria &amp; Weights'!D11</f>
        <v/>
      </c>
      <c r="C11" s="9" t="n">
        <v>4</v>
      </c>
      <c r="D11" s="9" t="n">
        <v>4</v>
      </c>
      <c r="E11" s="9" t="n">
        <v>4</v>
      </c>
      <c r="F11" s="9" t="n">
        <v>3</v>
      </c>
      <c r="G11" s="9" t="n">
        <v>3</v>
      </c>
    </row>
    <row r="12">
      <c r="A12" s="8" t="inlineStr">
        <is>
          <t>5-year total cost of ownership</t>
        </is>
      </c>
      <c r="B12" s="7">
        <f>'Criteria &amp; Weights'!D12</f>
        <v/>
      </c>
      <c r="C12" s="9" t="n">
        <v>3</v>
      </c>
      <c r="D12" s="9" t="n">
        <v>2</v>
      </c>
      <c r="E12" s="9" t="n">
        <v>5</v>
      </c>
      <c r="F12" s="9" t="n">
        <v>1</v>
      </c>
      <c r="G12" s="9" t="n">
        <v>2</v>
      </c>
    </row>
    <row r="13">
      <c r="A13" s="8" t="inlineStr">
        <is>
          <t>Operations and orchestration</t>
        </is>
      </c>
      <c r="B13" s="7">
        <f>'Criteria &amp; Weights'!D13</f>
        <v/>
      </c>
      <c r="C13" s="9" t="n">
        <v>4</v>
      </c>
      <c r="D13" s="9" t="n">
        <v>4</v>
      </c>
      <c r="E13" s="9" t="n">
        <v>3</v>
      </c>
      <c r="F13" s="9" t="n">
        <v>2</v>
      </c>
      <c r="G13" s="9" t="n">
        <v>1</v>
      </c>
    </row>
    <row r="14">
      <c r="A14" s="8" t="inlineStr">
        <is>
          <t>DevOps: Git, CI/CD, automated tests</t>
        </is>
      </c>
      <c r="B14" s="7">
        <f>'Criteria &amp; Weights'!D14</f>
        <v/>
      </c>
      <c r="C14" s="9" t="n">
        <v>3</v>
      </c>
      <c r="D14" s="9" t="n">
        <v>2</v>
      </c>
      <c r="E14" s="9" t="n">
        <v>5</v>
      </c>
      <c r="F14" s="9" t="n">
        <v>3</v>
      </c>
      <c r="G14" s="9" t="n">
        <v>4</v>
      </c>
    </row>
    <row r="15">
      <c r="A15" s="8" t="inlineStr">
        <is>
          <t>Vendor viability, roadmap and local support</t>
        </is>
      </c>
      <c r="B15" s="7">
        <f>'Criteria &amp; Weights'!D15</f>
        <v/>
      </c>
      <c r="C15" s="9" t="n">
        <v>4</v>
      </c>
      <c r="D15" s="9" t="n">
        <v>1</v>
      </c>
      <c r="E15" s="9" t="n">
        <v>2</v>
      </c>
      <c r="F15" s="9" t="n">
        <v>4</v>
      </c>
      <c r="G15" s="9" t="n">
        <v>2</v>
      </c>
    </row>
    <row r="17">
      <c r="A17" s="10" t="inlineStr">
        <is>
          <t>Weighted total (0-100)</t>
        </is>
      </c>
      <c r="C17" s="11">
        <f>ROUND(SUMPRODUCT($B$5:$B$15,C5:C15)/5,1)</f>
        <v/>
      </c>
      <c r="D17" s="11">
        <f>ROUND(SUMPRODUCT($B$5:$B$15,D5:D15)/5,1)</f>
        <v/>
      </c>
      <c r="E17" s="11">
        <f>ROUND(SUMPRODUCT($B$5:$B$15,E5:E15)/5,1)</f>
        <v/>
      </c>
      <c r="F17" s="11">
        <f>ROUND(SUMPRODUCT($B$5:$B$15,F5:F15)/5,1)</f>
        <v/>
      </c>
      <c r="G17" s="11">
        <f>ROUND(SUMPRODUCT($B$5:$B$15,G5:G15)/5,1)</f>
        <v/>
      </c>
    </row>
    <row r="18">
      <c r="A18" s="10" t="inlineStr">
        <is>
          <t>Rank</t>
        </is>
      </c>
      <c r="C18" s="7">
        <f>RANK(C17,$C$17:$G$17)</f>
        <v/>
      </c>
      <c r="D18" s="7">
        <f>RANK(D17,$C$17:$G$17)</f>
        <v/>
      </c>
      <c r="E18" s="7">
        <f>RANK(E17,$C$17:$G$17)</f>
        <v/>
      </c>
      <c r="F18" s="7">
        <f>RANK(F17,$C$17:$G$17)</f>
        <v/>
      </c>
      <c r="G18" s="7">
        <f>RANK(G17,$C$17:$G$17)</f>
        <v/>
      </c>
    </row>
    <row r="19">
      <c r="A19" s="10" t="inlineStr">
        <is>
          <t>Knock-out gate status (see Gates)</t>
        </is>
      </c>
      <c r="C19" s="7">
        <f>Gates!C8</f>
        <v/>
      </c>
      <c r="D19" s="7">
        <f>Gates!D8</f>
        <v/>
      </c>
      <c r="E19" s="7">
        <f>Gates!E8</f>
        <v/>
      </c>
      <c r="F19" s="7">
        <f>Gates!F8</f>
        <v/>
      </c>
      <c r="G19" s="7">
        <f>Gates!G8</f>
        <v/>
      </c>
    </row>
    <row r="21">
      <c r="A21" s="3" t="inlineStr">
        <is>
          <t>Scoring rationale</t>
        </is>
      </c>
    </row>
    <row r="22">
      <c r="A22" s="5" t="inlineStr">
        <is>
          <t>Criterion</t>
        </is>
      </c>
      <c r="B22" s="5" t="inlineStr">
        <is>
          <t>Weight</t>
        </is>
      </c>
      <c r="C22" s="5" t="inlineStr">
        <is>
          <t>ODI</t>
        </is>
      </c>
      <c r="D22" s="5" t="inlineStr">
        <is>
          <t>PowerCenter</t>
        </is>
      </c>
      <c r="E22" s="5" t="inlineStr">
        <is>
          <t>dbt</t>
        </is>
      </c>
      <c r="F22" s="5" t="inlineStr">
        <is>
          <t>CDP</t>
        </is>
      </c>
      <c r="G22" s="5" t="inlineStr">
        <is>
          <t>Spark</t>
        </is>
      </c>
    </row>
    <row r="23" ht="75" customHeight="1">
      <c r="A23" s="8" t="inlineStr">
        <is>
          <t>Exadata / Oracle pushdown and performance</t>
        </is>
      </c>
      <c r="B23" s="8" t="n">
        <v>14</v>
      </c>
      <c r="C23" s="8" t="inlineStr">
        <is>
          <t>5 - E-LT by design: generated SQL runs in the target Exadata; Oracle KMs use external tables, parallel DML, MERGE and partition exchange.</t>
        </is>
      </c>
      <c r="D23" s="8" t="inlineStr">
        <is>
          <t>3 - Engine-based ETL; Pushdown Optimization (extra option) can push to Oracle, but an ETL server tier remains.</t>
        </is>
      </c>
      <c r="E23" s="8" t="inlineStr">
        <is>
          <t>5 - Every model compiles to SQL executed in Exadata; incremental merge and microbatch strategies supported by dbt-oracle.</t>
        </is>
      </c>
      <c r="F23" s="8" t="inlineStr">
        <is>
          <t>2 - Processing happens on the Cloudera cluster; Oracle is reached via JDBC/Sqoop-style pulls and results written back for MSTR.</t>
        </is>
      </c>
      <c r="G23" s="8" t="inlineStr">
        <is>
          <t>2 - Reads and writes Oracle through JDBC; no use of Smart Scan; 2B-row SWIFT reload is the worst case.</t>
        </is>
      </c>
    </row>
    <row r="24" ht="75" customHeight="1">
      <c r="A24" s="8" t="inlineStr">
        <is>
          <t>Real-time, CDC and operational reporting</t>
        </is>
      </c>
      <c r="B24" s="8" t="n">
        <v>12</v>
      </c>
      <c r="C24" s="8" t="inlineStr">
        <is>
          <t>3 - Batch and micro-batch natively; S0 only via GoldenGate JKM (separate licence, DBA concerns). ADG standby covers raw izleme screens.</t>
        </is>
      </c>
      <c r="D24" s="8" t="inlineStr">
        <is>
          <t>3 - PowerExchange CDC for Oracle (separate licence) gives log-based capture; real-time option exists.</t>
        </is>
      </c>
      <c r="E24" s="8" t="inlineStr">
        <is>
          <t>2 - No CDC or streaming; microbatch runs give S1 at best; S0 must come from ADG or GoldenGate.</t>
        </is>
      </c>
      <c r="F24" s="8" t="inlineStr">
        <is>
          <t>4 - Kafka + Flink + NiFi give true streaming; Oracle CDC still needs Debezium/LogMiner or GoldenGate on Kale side.</t>
        </is>
      </c>
      <c r="G24" s="8" t="inlineStr">
        <is>
          <t>4 - Structured Streaming and 4.x Real-time Mode with Kafka + Debezium; parts still experimental.</t>
        </is>
      </c>
    </row>
    <row r="25" ht="75" customHeight="1">
      <c r="A25" s="8" t="inlineStr">
        <is>
          <t>Security, on-prem and regulatory compliance</t>
        </is>
      </c>
      <c r="B25" s="8" t="n">
        <v>10</v>
      </c>
      <c r="C25" s="8" t="inlineStr">
        <is>
          <t>4 - Fully on-prem; agents run inside the bank; credentials in the ODI repository/wallet; relies on Oracle DB security (TDE, VPD).</t>
        </is>
      </c>
      <c r="D25" s="8" t="inlineStr">
        <is>
          <t>2 - On-prem today, but security fixes stop after Extended Support (Mar 2027); successor needs an internet-connected Secure Agent and cloud control plane.</t>
        </is>
      </c>
      <c r="E25" s="8" t="inlineStr">
        <is>
          <t>4 - Self-hosted Core sends no data out; runs with DB accounts; secrets handled by the runner. Do not use dbt platform (SaaS).</t>
        </is>
      </c>
      <c r="F25" s="8" t="inlineStr">
        <is>
          <t>4 - On-prem with Kerberos, Ranger, TLS; larger attack surface and second security perimeter.</t>
        </is>
      </c>
      <c r="G25" s="8" t="inlineStr">
        <is>
          <t>2 - Everything (Kerberos/TLS, secrets, authorisation) is self-built and self-patched.</t>
        </is>
      </c>
    </row>
    <row r="26" ht="75" customHeight="1">
      <c r="A26" s="8" t="inlineStr">
        <is>
          <t>Governance: lineage, metadata, audit, data quality</t>
        </is>
      </c>
      <c r="B26" s="8" t="n">
        <v>10</v>
      </c>
      <c r="C26" s="8" t="inlineStr">
        <is>
          <t>4 - Repository holds mappings, column lineage and impact analysis; run history per session. DQ needs custom checks or Oracle EDQ.</t>
        </is>
      </c>
      <c r="D26" s="8" t="inlineStr">
        <is>
          <t>4 - Metadata Manager lineage and mature audit; DQ via separate Informatica products.</t>
        </is>
      </c>
      <c r="E26" s="8" t="inlineStr">
        <is>
          <t>3 - DAG lineage, docs site and built-in tests; column-level lineage only in the SaaS platform; run artifacts must be harvested.</t>
        </is>
      </c>
      <c r="F26" s="8" t="inlineStr">
        <is>
          <t>4 - Atlas lineage and Ranger audit across the cluster; lineage breaks at the Oracle boundary.</t>
        </is>
      </c>
      <c r="G26" s="8" t="inlineStr">
        <is>
          <t>2 - Lineage via OpenLineage/DIY; no built-in catalogue or audit.</t>
        </is>
      </c>
    </row>
    <row r="27" ht="75" customHeight="1">
      <c r="A27" s="8" t="inlineStr">
        <is>
          <t>Team skill fit and learning curve</t>
        </is>
      </c>
      <c r="B27" s="8" t="n">
        <v>10</v>
      </c>
      <c r="C27" s="8" t="inlineStr">
        <is>
          <t>4 - SQL-centric; PL/SQL developers become productive quickly. GUI and KM concepts need training.</t>
        </is>
      </c>
      <c r="D27" s="8" t="inlineStr">
        <is>
          <t>3 - No in-house ETL skills; PowerCenter developers available in the Turkish market (MKK).</t>
        </is>
      </c>
      <c r="E27" s="8" t="inlineStr">
        <is>
          <t>4 - SQL first; Jinja macros, YAML and Git are new but small steps for SQL people.</t>
        </is>
      </c>
      <c r="F27" s="8" t="inlineStr">
        <is>
          <t>1 - Hadoop, Kafka, Flink, Spark, Kerberos skills absent; scarce and expensive hires.</t>
        </is>
      </c>
      <c r="G27" s="8" t="inlineStr">
        <is>
          <t>1 - Python/Scala distributed-systems engineering; furthest from the PL/SQL team.</t>
        </is>
      </c>
    </row>
    <row r="28" ht="75" customHeight="1">
      <c r="A28" s="8" t="inlineStr">
        <is>
          <t>Source connectivity</t>
        </is>
      </c>
      <c r="B28" s="8" t="n">
        <v>8</v>
      </c>
      <c r="C28" s="8" t="inlineStr">
        <is>
          <t>4 - Oracle, JDBC (Postgres/MSSQL), files, FTP, web-service tools; BIDB pull from Borsa DWH as Ondata described.</t>
        </is>
      </c>
      <c r="D28" s="8" t="inlineStr">
        <is>
          <t>5 - Broadest connector catalogue of the five: files, FTP, web services, all RDBMS, mainframe.</t>
        </is>
      </c>
      <c r="E28" s="8" t="inlineStr">
        <is>
          <t>1 - None: dbt only transforms what is already in the database; landing must be built separately.</t>
        </is>
      </c>
      <c r="F28" s="8" t="inlineStr">
        <is>
          <t>5 - NiFi plus Kafka Connect cover files, FTP, web services, APIs and all databases.</t>
        </is>
      </c>
      <c r="G28" s="8" t="inlineStr">
        <is>
          <t>3 - JDBC and files are fine; FTP/web services need custom code.</t>
        </is>
      </c>
    </row>
    <row r="29" ht="75" customHeight="1">
      <c r="A29" s="8" t="inlineStr">
        <is>
          <t>Transformation and modelling</t>
        </is>
      </c>
      <c r="B29" s="8" t="n">
        <v>8</v>
      </c>
      <c r="C29" s="8" t="inlineStr">
        <is>
          <t>4 - Built-in SCD2 and incremental IKMs; bitemporal patterns via custom KM; existing procedure SQL reusable.</t>
        </is>
      </c>
      <c r="D29" s="8" t="inlineStr">
        <is>
          <t>4 - Rich transformation library, SCD wizards, lookups; logic lives in the engine, not in SQL.</t>
        </is>
      </c>
      <c r="E29" s="8" t="inlineStr">
        <is>
          <t>4 - Snapshots (SCD2), incremental models, tests, macros; bitemporal handled with custom macros.</t>
        </is>
      </c>
      <c r="F29" s="8" t="inlineStr">
        <is>
          <t>3 - Spark SQL / Hive / Iceberg MERGE are capable, but the integrated core would be split between two platforms.</t>
        </is>
      </c>
      <c r="G29" s="8" t="inlineStr">
        <is>
          <t>3 - Unlimited logic, but core tables live in Oracle, so every load is a cross-system write.</t>
        </is>
      </c>
    </row>
    <row r="30" ht="75" customHeight="1">
      <c r="A30" s="8" t="inlineStr">
        <is>
          <t>5-year total cost of ownership</t>
        </is>
      </c>
      <c r="B30" s="8" t="n">
        <v>8</v>
      </c>
      <c r="C30" s="8" t="inlineStr">
        <is>
          <t>3 - Processor licences on agent hosts plus 22% annual support; HA adds WebLogic/Coherence. No extra compute (Exadata).</t>
        </is>
      </c>
      <c r="D30" s="8" t="inlineStr">
        <is>
          <t>2 - Quote-based licence, extended-support premium, and a forced migration to IDMC within the 5-year window.</t>
        </is>
      </c>
      <c r="E30" s="8" t="inlineStr">
        <is>
          <t>5 - No licence; people cost for building the ingestion/orchestration framework.</t>
        </is>
      </c>
      <c r="F30" s="8" t="inlineStr">
        <is>
          <t>1 - CCU + data-under-management subscription, a new server cluster, and a platform team on top of Exadata.</t>
        </is>
      </c>
      <c r="G30" s="8" t="inlineStr">
        <is>
          <t>2 - No licence, but cluster hardware plus 3-5 platform/data engineers.</t>
        </is>
      </c>
    </row>
    <row r="31" ht="75" customHeight="1">
      <c r="A31" s="8" t="inlineStr">
        <is>
          <t>Operations and orchestration</t>
        </is>
      </c>
      <c r="B31" s="8" t="n">
        <v>7</v>
      </c>
      <c r="C31" s="8" t="inlineStr">
        <is>
          <t>4 - Load plans with restart, agent HA, Automic triggers scenarios via command line or web service.</t>
        </is>
      </c>
      <c r="D31" s="8" t="inlineStr">
        <is>
          <t>4 - Workflow Manager/Monitor, restart and recovery are mature.</t>
        </is>
      </c>
      <c r="E31" s="8" t="inlineStr">
        <is>
          <t>3 - CLI runs from Automic; `dbt retry` for restarts; monitoring built from run_results artifacts.</t>
        </is>
      </c>
      <c r="F31" s="8" t="inlineStr">
        <is>
          <t>2 - Cloudera Manager helps, but a multi-service cluster needs 24/7 operations Takasbank lacks.</t>
        </is>
      </c>
      <c r="G31" s="8" t="inlineStr">
        <is>
          <t>1 - Scheduler, monitoring, restart and upgrades are all DIY.</t>
        </is>
      </c>
    </row>
    <row r="32" ht="75" customHeight="1">
      <c r="A32" s="8" t="inlineStr">
        <is>
          <t>DevOps: Git, CI/CD, automated tests</t>
        </is>
      </c>
      <c r="B32" s="8" t="n">
        <v>6</v>
      </c>
      <c r="C32" s="8" t="inlineStr">
        <is>
          <t>3 - VCS/Git integration and deployment archives exist, but branching and merging repository objects is clumsy.</t>
        </is>
      </c>
      <c r="D32" s="8" t="inlineStr">
        <is>
          <t>2 - Repository-centric; XML export for Git; weak CI/CD.</t>
        </is>
      </c>
      <c r="E32" s="8" t="inlineStr">
        <is>
          <t>5 - Best-in-class: Git, pull requests, CI, environment targets, slim CI.</t>
        </is>
      </c>
      <c r="F32" s="8" t="inlineStr">
        <is>
          <t>3 - Code-based jobs are Git-friendly; platform configuration is not.</t>
        </is>
      </c>
      <c r="G32" s="8" t="inlineStr">
        <is>
          <t>4 - Code-first and testable; CI/CD must be assembled.</t>
        </is>
      </c>
    </row>
    <row r="33" ht="75" customHeight="1">
      <c r="A33" s="8" t="inlineStr">
        <is>
          <t>Vendor viability, roadmap and local support</t>
        </is>
      </c>
      <c r="B33" s="8" t="n">
        <v>7</v>
      </c>
      <c r="C33" s="8" t="inlineStr">
        <is>
          <t>4 - Oracle; 14c supported to 2030/2033; Borsa Istanbul reference; local integrators.</t>
        </is>
      </c>
      <c r="D33" s="8" t="inlineStr">
        <is>
          <t>1 - On-prem product at end of standard support; now part of Salesforce; partner reported no new on-prem sales.</t>
        </is>
      </c>
      <c r="E33" s="8" t="inlineStr">
        <is>
          <t>2 - Open source with no on-prem SLA; Oracle adapter community/Oracle-maintained and not yet on v2 engine; vendor focus is cloud.</t>
        </is>
      </c>
      <c r="F33" s="8" t="inlineStr">
        <is>
          <t>4 - 7.3.2 LTS supported to 2032; established vendor with Turkish banking references.</t>
        </is>
      </c>
      <c r="G33" s="8" t="inlineStr">
        <is>
          <t>2 - Community project; support only via third parties; fast release cadence to track.</t>
        </is>
      </c>
    </row>
  </sheetData>
  <conditionalFormatting sqref="C5:G15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C17:G17">
    <cfRule type="colorScale" priority="2">
      <colorScale>
        <cfvo type="num" val="40"/>
        <cfvo type="num" val="60"/>
        <cfvo type="num" val="80"/>
        <color rgb="00F8696B"/>
        <color rgb="00FFEB84"/>
        <color rgb="0063BE7B"/>
      </colorScale>
    </cfRule>
  </conditionalFormatting>
  <conditionalFormatting sqref="C19:G19">
    <cfRule type="cellIs" priority="3" operator="equal" dxfId="0">
      <formula>"Fail"</formula>
    </cfRule>
    <cfRule type="cellIs" priority="4" operator="equal" dxfId="1">
      <formula>"Conditional"</formula>
    </cfRule>
    <cfRule type="cellIs" priority="5" operator="equal" dxfId="2">
      <formula>"Pass"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Knock-out gates (pass / conditional / fail before scoring)</t>
        </is>
      </c>
    </row>
    <row r="2">
      <c r="A2" s="2" t="inlineStr">
        <is>
          <t>A Fail removes the tool from the shortlist regardless of its weighted score. Conditional = passes only with the stated mitigation.</t>
        </is>
      </c>
    </row>
    <row r="4">
      <c r="A4" s="5" t="inlineStr">
        <is>
          <t>Gate</t>
        </is>
      </c>
      <c r="B4" s="5" t="inlineStr">
        <is>
          <t>Requirement</t>
        </is>
      </c>
      <c r="C4" s="5" t="inlineStr">
        <is>
          <t>ODI</t>
        </is>
      </c>
      <c r="D4" s="5" t="inlineStr">
        <is>
          <t>PowerCenter</t>
        </is>
      </c>
      <c r="E4" s="5" t="inlineStr">
        <is>
          <t>dbt</t>
        </is>
      </c>
      <c r="F4" s="5" t="inlineStr">
        <is>
          <t>CDP</t>
        </is>
      </c>
      <c r="G4" s="5" t="inlineStr">
        <is>
          <t>Spark</t>
        </is>
      </c>
    </row>
    <row r="5">
      <c r="A5" s="8" t="inlineStr">
        <is>
          <t>G1</t>
        </is>
      </c>
      <c r="B5" s="8" t="inlineStr">
        <is>
          <t>Runs fully on-prem with no external control plane or internet-connected agent</t>
        </is>
      </c>
      <c r="C5" s="7" t="inlineStr">
        <is>
          <t>Pass</t>
        </is>
      </c>
      <c r="D5" s="7" t="inlineStr">
        <is>
          <t>Conditional</t>
        </is>
      </c>
      <c r="E5" s="7" t="inlineStr">
        <is>
          <t>Pass</t>
        </is>
      </c>
      <c r="F5" s="7" t="inlineStr">
        <is>
          <t>Pass</t>
        </is>
      </c>
      <c r="G5" s="7" t="inlineStr">
        <is>
          <t>Pass</t>
        </is>
      </c>
    </row>
    <row r="6">
      <c r="A6" s="8" t="inlineStr">
        <is>
          <t>G2</t>
        </is>
      </c>
      <c r="B6" s="8" t="inlineStr">
        <is>
          <t>Vendor-supported release with security fixes for 5+ years (to late 2031)</t>
        </is>
      </c>
      <c r="C6" s="7" t="inlineStr">
        <is>
          <t>Pass</t>
        </is>
      </c>
      <c r="D6" s="7" t="inlineStr">
        <is>
          <t>Fail</t>
        </is>
      </c>
      <c r="E6" s="7" t="inlineStr">
        <is>
          <t>Conditional</t>
        </is>
      </c>
      <c r="F6" s="7" t="inlineStr">
        <is>
          <t>Pass</t>
        </is>
      </c>
      <c r="G6" s="7" t="inlineStr">
        <is>
          <t>Conditional</t>
        </is>
      </c>
    </row>
    <row r="7">
      <c r="A7" s="8" t="inlineStr">
        <is>
          <t>G3</t>
        </is>
      </c>
      <c r="B7" s="8" t="inlineStr">
        <is>
          <t>Production-grade support for Oracle Database 19c/23ai on Exadata</t>
        </is>
      </c>
      <c r="C7" s="7" t="inlineStr">
        <is>
          <t>Pass</t>
        </is>
      </c>
      <c r="D7" s="7" t="inlineStr">
        <is>
          <t>Pass</t>
        </is>
      </c>
      <c r="E7" s="7" t="inlineStr">
        <is>
          <t>Pass</t>
        </is>
      </c>
      <c r="F7" s="7" t="inlineStr">
        <is>
          <t>Pass</t>
        </is>
      </c>
      <c r="G7" s="7" t="inlineStr">
        <is>
          <t>Pass</t>
        </is>
      </c>
    </row>
    <row r="8">
      <c r="B8" s="10" t="inlineStr">
        <is>
          <t>Overall</t>
        </is>
      </c>
      <c r="C8" s="11">
        <f>IF(COUNTIF(C5:C7,"Fail")&gt;0,"Fail",IF(COUNTIF(C5:C7,"Conditional")&gt;0,"Conditional","Pass"))</f>
        <v/>
      </c>
      <c r="D8" s="11">
        <f>IF(COUNTIF(D5:D7,"Fail")&gt;0,"Fail",IF(COUNTIF(D5:D7,"Conditional")&gt;0,"Conditional","Pass"))</f>
        <v/>
      </c>
      <c r="E8" s="11">
        <f>IF(COUNTIF(E5:E7,"Fail")&gt;0,"Fail",IF(COUNTIF(E5:E7,"Conditional")&gt;0,"Conditional","Pass"))</f>
        <v/>
      </c>
      <c r="F8" s="11">
        <f>IF(COUNTIF(F5:F7,"Fail")&gt;0,"Fail",IF(COUNTIF(F5:F7,"Conditional")&gt;0,"Conditional","Pass"))</f>
        <v/>
      </c>
      <c r="G8" s="11">
        <f>IF(COUNTIF(G5:G7,"Fail")&gt;0,"Fail",IF(COUNTIF(G5:G7,"Conditional")&gt;0,"Conditional","Pass"))</f>
        <v/>
      </c>
    </row>
    <row r="10">
      <c r="A10" s="3" t="inlineStr">
        <is>
          <t>Gate evidence</t>
        </is>
      </c>
    </row>
    <row r="11">
      <c r="A11" s="5" t="inlineStr">
        <is>
          <t>Gate</t>
        </is>
      </c>
      <c r="B11" s="5" t="inlineStr">
        <is>
          <t>Requirement</t>
        </is>
      </c>
      <c r="C11" s="5" t="inlineStr">
        <is>
          <t>ODI</t>
        </is>
      </c>
      <c r="D11" s="5" t="inlineStr">
        <is>
          <t>PowerCenter</t>
        </is>
      </c>
      <c r="E11" s="5" t="inlineStr">
        <is>
          <t>dbt</t>
        </is>
      </c>
      <c r="F11" s="5" t="inlineStr">
        <is>
          <t>CDP</t>
        </is>
      </c>
      <c r="G11" s="5" t="inlineStr">
        <is>
          <t>Spark</t>
        </is>
      </c>
    </row>
    <row r="12" ht="60" customHeight="1">
      <c r="A12" s="8" t="inlineStr">
        <is>
          <t>G1</t>
        </is>
      </c>
      <c r="B12" s="8" t="inlineStr">
        <is>
          <t>Runs fully on-prem with no external control plane or internet-connected agent</t>
        </is>
      </c>
      <c r="C12" s="8" t="inlineStr">
        <is>
          <t>Pass: All components inside the bank.</t>
        </is>
      </c>
      <c r="D12" s="8" t="inlineStr">
        <is>
          <t>Conditional: 10.5 yes; the only supported successor (CDI-PC/IDMC) needs a cloud control plane.</t>
        </is>
      </c>
      <c r="E12" s="8" t="inlineStr">
        <is>
          <t>Pass: dbt-core only; dbt platform (SaaS) excluded.</t>
        </is>
      </c>
      <c r="F12" s="8" t="inlineStr">
        <is>
          <t>Pass: Cloudera Base on premises.</t>
        </is>
      </c>
      <c r="G12" s="8" t="inlineStr">
        <is>
          <t>Pass: Self-managed.</t>
        </is>
      </c>
    </row>
    <row r="13" ht="60" customHeight="1">
      <c r="A13" s="8" t="inlineStr">
        <is>
          <t>G2</t>
        </is>
      </c>
      <c r="B13" s="8" t="inlineStr">
        <is>
          <t>Vendor-supported release with security fixes for 5+ years (to late 2031)</t>
        </is>
      </c>
      <c r="C13" s="8" t="inlineStr">
        <is>
          <t>Pass: 14c Premier to Dec 2030, Extended to Dec 2033.</t>
        </is>
      </c>
      <c r="D13" s="8" t="inlineStr">
        <is>
          <t>Fail: Standard support ended Mar 2026; Extended to Mar 2027; Sustaining to 2029 without new fixes.</t>
        </is>
      </c>
      <c r="E13" s="8" t="inlineStr">
        <is>
          <t>Conditional: Apache 2.0 with indefinite OSS commitment, but no SLA; each minor line supported 1 year.</t>
        </is>
      </c>
      <c r="F13" s="8" t="inlineStr">
        <is>
          <t>Pass: 7.3.2 LTS to Mar 2032.</t>
        </is>
      </c>
      <c r="G13" s="8" t="inlineStr">
        <is>
          <t>Conditional: Community maintenance only; third-party support needed.</t>
        </is>
      </c>
    </row>
    <row r="14" ht="60" customHeight="1">
      <c r="A14" s="8" t="inlineStr">
        <is>
          <t>G3</t>
        </is>
      </c>
      <c r="B14" s="8" t="inlineStr">
        <is>
          <t>Production-grade support for Oracle Database 19c/23ai on Exadata</t>
        </is>
      </c>
      <c r="C14" s="8" t="inlineStr">
        <is>
          <t>Pass: Native Oracle KMs, Exadata-aware loading.</t>
        </is>
      </c>
      <c r="D14" s="8" t="inlineStr">
        <is>
          <t>Pass: Certified Oracle connectivity.</t>
        </is>
      </c>
      <c r="E14" s="8" t="inlineStr">
        <is>
          <t>Pass: dbt-oracle supports on-prem Oracle via python-oracledb.</t>
        </is>
      </c>
      <c r="F14" s="8" t="inlineStr">
        <is>
          <t>Pass: JDBC source/target.</t>
        </is>
      </c>
      <c r="G14" s="8" t="inlineStr">
        <is>
          <t>Pass: JDBC source/target.</t>
        </is>
      </c>
    </row>
  </sheetData>
  <conditionalFormatting sqref="C5:G8">
    <cfRule type="cellIs" priority="1" operator="equal" dxfId="0">
      <formula>"Fail"</formula>
    </cfRule>
    <cfRule type="cellIs" priority="2" operator="equal" dxfId="1">
      <formula>"Conditional"</formula>
    </cfRule>
    <cfRule type="cellIs" priority="3" operator="equal" dxfId="2">
      <formula>"Pass"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Sensitivity: weighted totals under alternative weightings</t>
        </is>
      </c>
    </row>
    <row r="2">
      <c r="A2" s="2" t="inlineStr">
        <is>
          <t>Totals are live formulas over 'Criteria &amp; Weights' scenario columns and 'Scoring Matrix' scores.</t>
        </is>
      </c>
    </row>
    <row r="4">
      <c r="A4" s="5" t="inlineStr">
        <is>
          <t>Scenario</t>
        </is>
      </c>
      <c r="B4" s="5" t="inlineStr">
        <is>
          <t>ODI</t>
        </is>
      </c>
      <c r="C4" s="5" t="inlineStr">
        <is>
          <t>PowerCenter</t>
        </is>
      </c>
      <c r="D4" s="5" t="inlineStr">
        <is>
          <t>dbt</t>
        </is>
      </c>
      <c r="E4" s="5" t="inlineStr">
        <is>
          <t>CDP</t>
        </is>
      </c>
      <c r="F4" s="5" t="inlineStr">
        <is>
          <t>Spark</t>
        </is>
      </c>
      <c r="G4" s="5" t="inlineStr">
        <is>
          <t>Winner</t>
        </is>
      </c>
    </row>
    <row r="5">
      <c r="A5" s="8" t="inlineStr">
        <is>
          <t>Base (Takasbank profile)</t>
        </is>
      </c>
      <c r="B5" s="7">
        <f>ROUND(SUMPRODUCT('Criteria &amp; Weights'!$D$5:$D$15,'Scoring Matrix'!C$5:C$15)/5,1)</f>
        <v/>
      </c>
      <c r="C5" s="7">
        <f>ROUND(SUMPRODUCT('Criteria &amp; Weights'!$D$5:$D$15,'Scoring Matrix'!D$5:D$15)/5,1)</f>
        <v/>
      </c>
      <c r="D5" s="7">
        <f>ROUND(SUMPRODUCT('Criteria &amp; Weights'!$D$5:$D$15,'Scoring Matrix'!E$5:E$15)/5,1)</f>
        <v/>
      </c>
      <c r="E5" s="7">
        <f>ROUND(SUMPRODUCT('Criteria &amp; Weights'!$D$5:$D$15,'Scoring Matrix'!F$5:F$15)/5,1)</f>
        <v/>
      </c>
      <c r="F5" s="7">
        <f>ROUND(SUMPRODUCT('Criteria &amp; Weights'!$D$5:$D$15,'Scoring Matrix'!G$5:G$15)/5,1)</f>
        <v/>
      </c>
      <c r="G5" s="11">
        <f>INDEX($B$4:$F$4,MATCH(MAX(B5:F5),B5:F5,0))</f>
        <v/>
      </c>
    </row>
    <row r="6">
      <c r="A6" s="8" t="inlineStr">
        <is>
          <t>Oracle-team-first</t>
        </is>
      </c>
      <c r="B6" s="7">
        <f>ROUND(SUMPRODUCT('Criteria &amp; Weights'!$E$5:$E$15,'Scoring Matrix'!C$5:C$15)/5,1)</f>
        <v/>
      </c>
      <c r="C6" s="7">
        <f>ROUND(SUMPRODUCT('Criteria &amp; Weights'!$E$5:$E$15,'Scoring Matrix'!D$5:D$15)/5,1)</f>
        <v/>
      </c>
      <c r="D6" s="7">
        <f>ROUND(SUMPRODUCT('Criteria &amp; Weights'!$E$5:$E$15,'Scoring Matrix'!E$5:E$15)/5,1)</f>
        <v/>
      </c>
      <c r="E6" s="7">
        <f>ROUND(SUMPRODUCT('Criteria &amp; Weights'!$E$5:$E$15,'Scoring Matrix'!F$5:F$15)/5,1)</f>
        <v/>
      </c>
      <c r="F6" s="7">
        <f>ROUND(SUMPRODUCT('Criteria &amp; Weights'!$E$5:$E$15,'Scoring Matrix'!G$5:G$15)/5,1)</f>
        <v/>
      </c>
      <c r="G6" s="11">
        <f>INDEX($B$4:$F$4,MATCH(MAX(B6:F6),B6:F6,0))</f>
        <v/>
      </c>
    </row>
    <row r="7">
      <c r="A7" s="8" t="inlineStr">
        <is>
          <t>Real-time-first</t>
        </is>
      </c>
      <c r="B7" s="7">
        <f>ROUND(SUMPRODUCT('Criteria &amp; Weights'!$F$5:$F$15,'Scoring Matrix'!C$5:C$15)/5,1)</f>
        <v/>
      </c>
      <c r="C7" s="7">
        <f>ROUND(SUMPRODUCT('Criteria &amp; Weights'!$F$5:$F$15,'Scoring Matrix'!D$5:D$15)/5,1)</f>
        <v/>
      </c>
      <c r="D7" s="7">
        <f>ROUND(SUMPRODUCT('Criteria &amp; Weights'!$F$5:$F$15,'Scoring Matrix'!E$5:E$15)/5,1)</f>
        <v/>
      </c>
      <c r="E7" s="7">
        <f>ROUND(SUMPRODUCT('Criteria &amp; Weights'!$F$5:$F$15,'Scoring Matrix'!F$5:F$15)/5,1)</f>
        <v/>
      </c>
      <c r="F7" s="7">
        <f>ROUND(SUMPRODUCT('Criteria &amp; Weights'!$F$5:$F$15,'Scoring Matrix'!G$5:G$15)/5,1)</f>
        <v/>
      </c>
      <c r="G7" s="11">
        <f>INDEX($B$4:$F$4,MATCH(MAX(B7:F7),B7:F7,0))</f>
        <v/>
      </c>
    </row>
    <row r="8">
      <c r="A8" s="8" t="inlineStr">
        <is>
          <t>Cost-first</t>
        </is>
      </c>
      <c r="B8" s="7">
        <f>ROUND(SUMPRODUCT('Criteria &amp; Weights'!$G$5:$G$15,'Scoring Matrix'!C$5:C$15)/5,1)</f>
        <v/>
      </c>
      <c r="C8" s="7">
        <f>ROUND(SUMPRODUCT('Criteria &amp; Weights'!$G$5:$G$15,'Scoring Matrix'!D$5:D$15)/5,1)</f>
        <v/>
      </c>
      <c r="D8" s="7">
        <f>ROUND(SUMPRODUCT('Criteria &amp; Weights'!$G$5:$G$15,'Scoring Matrix'!E$5:E$15)/5,1)</f>
        <v/>
      </c>
      <c r="E8" s="7">
        <f>ROUND(SUMPRODUCT('Criteria &amp; Weights'!$G$5:$G$15,'Scoring Matrix'!F$5:F$15)/5,1)</f>
        <v/>
      </c>
      <c r="F8" s="7">
        <f>ROUND(SUMPRODUCT('Criteria &amp; Weights'!$G$5:$G$15,'Scoring Matrix'!G$5:G$15)/5,1)</f>
        <v/>
      </c>
      <c r="G8" s="11">
        <f>INDEX($B$4:$F$4,MATCH(MAX(B8:F8),B8:F8,0))</f>
        <v/>
      </c>
    </row>
    <row r="10" ht="45" customHeight="1">
      <c r="A10" s="4" t="inlineStr">
        <is>
          <t>Reading: ODI leads in the base, Oracle-team-first and real-time-first scenarios; dbt overtakes ODI only when TCO is weighted at 22%. PowerCenter's total is irrelevant because it fails gate G2.</t>
        </is>
      </c>
    </row>
  </sheetData>
  <mergeCells count="1">
    <mergeCell ref="A10:G10"/>
  </mergeCells>
  <conditionalFormatting sqref="B5:F8">
    <cfRule type="colorScale" priority="1">
      <colorScale>
        <cfvo type="num" val="40"/>
        <cfvo type="num" val="60"/>
        <cfvo type="num" val="80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Tool profiles</t>
        </is>
      </c>
    </row>
    <row r="2">
      <c r="A2" s="2" t="inlineStr">
        <is>
          <t>Vendor facts verified 2026-10-14; see Sources.</t>
        </is>
      </c>
    </row>
    <row r="4">
      <c r="A4" s="5" t="inlineStr">
        <is>
          <t>Attribute</t>
        </is>
      </c>
      <c r="B4" s="5" t="inlineStr">
        <is>
          <t>Oracle Data Integrator</t>
        </is>
      </c>
      <c r="C4" s="5" t="inlineStr">
        <is>
          <t>Informatica PowerCenter</t>
        </is>
      </c>
      <c r="D4" s="5" t="inlineStr">
        <is>
          <t>dbt (dbt-core + dbt-oracle)</t>
        </is>
      </c>
      <c r="E4" s="5" t="inlineStr">
        <is>
          <t>Cloudera Data Platform (Base on premises)</t>
        </is>
      </c>
      <c r="F4" s="5" t="inlineStr">
        <is>
          <t>Apache Spark (self-managed)</t>
        </is>
      </c>
    </row>
    <row r="5" ht="35" customHeight="1">
      <c r="A5" s="6" t="inlineStr">
        <is>
          <t>Product / version</t>
        </is>
      </c>
      <c r="B5" s="8" t="inlineStr">
        <is>
          <t>ODI 14c (14.1.2.0.0)</t>
        </is>
      </c>
      <c r="C5" s="8" t="inlineStr">
        <is>
          <t>PowerCenter 10.5.x (final on-prem line)</t>
        </is>
      </c>
      <c r="D5" s="8" t="inlineStr">
        <is>
          <t>dbt-core 1.12 + dbt-oracle 1.12 (dbt v2/Fusion has no Oracle adapter yet)</t>
        </is>
      </c>
      <c r="E5" s="8" t="inlineStr">
        <is>
          <t>Cloudera Base on premises 7.3.2 LTS + Cloudera Streaming (Kafka, Flink) + Flow Management (NiFi)</t>
        </is>
      </c>
      <c r="F5" s="8" t="inlineStr">
        <is>
          <t>Apache Spark 4.2.0 (Jul 2026) on Kubernetes/YARN</t>
        </is>
      </c>
    </row>
    <row r="6" ht="35" customHeight="1">
      <c r="A6" s="6" t="inlineStr">
        <is>
          <t>Category</t>
        </is>
      </c>
      <c r="B6" s="8" t="inlineStr">
        <is>
          <t>ELT suite (pushdown, E-LT)</t>
        </is>
      </c>
      <c r="C6" s="8" t="inlineStr">
        <is>
          <t>ETL engine suite</t>
        </is>
      </c>
      <c r="D6" s="8" t="inlineStr">
        <is>
          <t>In-warehouse SQL transformation framework</t>
        </is>
      </c>
      <c r="E6" s="8" t="inlineStr">
        <is>
          <t>Big-data platform (storage + compute + streaming)</t>
        </is>
      </c>
      <c r="F6" s="8" t="inlineStr">
        <is>
          <t>Distributed processing engine</t>
        </is>
      </c>
    </row>
    <row r="7" ht="90" customHeight="1">
      <c r="A7" s="6" t="inlineStr">
        <is>
          <t>Deployable stack evaluated</t>
        </is>
      </c>
      <c r="B7" s="8" t="inlineStr">
        <is>
          <t>ODI 14c agents + Knowledge Modules; GoldenGate JKM only for proven S0/S1 feeds; Automic calls ODI scenarios / load plans</t>
        </is>
      </c>
      <c r="C7" s="8" t="inlineStr">
        <is>
          <t>PowerCenter Integration Service + Repository; PowerExchange CDC for Oracle (separate licence); Pushdown Optimization option</t>
        </is>
      </c>
      <c r="D7" s="8" t="inlineStr">
        <is>
          <t>dbt-core + dbt-oracle on Linux runners; ingestion by PL/SQL + external tables/SQL*Loader (or ODI); Automic runs `dbt build`; Git + CI</t>
        </is>
      </c>
      <c r="E7" s="8" t="inlineStr">
        <is>
          <t>Cloudera Base cluster (Ozone/HDFS, Iceberg, Hive/Impala, Spark), Cloudera Streaming (Kafka/Flink, Kafka Connect + Debezium), NiFi for files/web services, Atlas/Ranger (SDX)</t>
        </is>
      </c>
      <c r="F7" s="8" t="inlineStr">
        <is>
          <t>Spark 4.2 (SQL, Structured Streaming, Declarative Pipelines) + Kafka + Debezium + Airflow/Automic + Iceberg or JDBC write-back to Oracle; DIY security and lineage (OpenLineage)</t>
        </is>
      </c>
    </row>
    <row r="8" ht="90" customHeight="1">
      <c r="A8" s="6" t="inlineStr">
        <is>
          <t>Licensing</t>
        </is>
      </c>
      <c r="B8" s="8" t="inlineStr">
        <is>
          <t>Per processor or Named User Plus on every host running an ODI agent (list ref. USD 30k/processor + 22% annual support). WebLogic EE + Coherence EE needed for clustered agent HA. GoldenGate licensed separately on capture/delivery hosts.</t>
        </is>
      </c>
      <c r="C8" s="8" t="inlineStr">
        <is>
          <t>Quote-based; on-prem PowerCenter no longer sold to new customers per the Informatica partner (BI Technology) - successor CDI-PC is IPU consumption-based via an internet-connected IDMC Secure Agent.</t>
        </is>
      </c>
      <c r="D8" s="8" t="inlineStr">
        <is>
          <t>Apache 2.0, no licence fee. dbt platform (SaaS) is not usable on-prem; no vendor SLA for self-hosted Core. Fivetran + dbt Labs merger completed 1 Jun 2026.</t>
        </is>
      </c>
      <c r="E8" s="8" t="inlineStr">
        <is>
          <t>Subscription by Cloudera Compute Units (cores/6 + RAM GB/12) plus Data Under Management since Feb 2025; quote-based. Requires its own commodity-server cluster - cannot run on Exadata.</t>
        </is>
      </c>
      <c r="F8" s="8" t="inlineStr">
        <is>
          <t>Apache 2.0, no licence fee. No vendor support unless bought from a third party.</t>
        </is>
      </c>
    </row>
    <row r="9" ht="90" customHeight="1">
      <c r="A9" s="6" t="inlineStr">
        <is>
          <t>Lifecycle / support</t>
        </is>
      </c>
      <c r="B9" s="8" t="inlineStr">
        <is>
          <t>FMW 14.1.2 Premier Support to Dec 2030, Extended to Dec 2033. ODI 12c Premier ends Dec 2026, Extended Dec 2027. Next FMW release targeted 2027.</t>
        </is>
      </c>
      <c r="C9" s="8" t="inlineStr">
        <is>
          <t>Standard support ended 31 Mar 2026. Paid Extended Support to 31 Mar 2027, Sustaining Support (no new fixes / security patches) to 31 Mar 2029. Informatica acquired by Salesforce (Nov 2025).</t>
        </is>
      </c>
      <c r="D9" s="8" t="inlineStr">
        <is>
          <t>Minor releases roughly quarterly, one year of support each (1.12 critical support to Jul 2027). dbt-oracle maintained by Oracle; v2 parser does not recognise Oracle yet.</t>
        </is>
      </c>
      <c r="E9" s="8" t="inlineStr">
        <is>
          <t>7.3.2 LTS GA Mar 2026, supported to Mar 2032. 7.3.1 EoS Dec 2026, 7.1.9 Oct 2028.</t>
        </is>
      </c>
      <c r="F9" s="8" t="inlineStr">
        <is>
          <t>Feature release roughly every 6-7 months (4.0 May 2025, 4.1 Dec 2025, 4.2 Jul 2026); maintenance releases for a limited window per line.</t>
        </is>
      </c>
    </row>
    <row r="10" ht="210" customHeight="1">
      <c r="A10" s="6" t="inlineStr">
        <is>
          <t>Strengths</t>
        </is>
      </c>
      <c r="B10" s="8" t="inlineStr">
        <is>
          <t>- Generates set-based SQL that runs inside Exadata (Smart Scan, HCC, parallel DML, partition exchange) - no second compute tier
- Knowledge Modules for SCD2, incremental merge, CDC and bulk load (external tables, SQL*Loader, DB link from standby)
- Native GoldenGate journalizing (JKM) when a data product truly needs S0/S1
- Repository-based lineage and impact analysis; load plans with restart from failure point
- Already in the Turkish capital-markets ecosystem (Borsa Istanbul uses ODI); local partners exist</t>
        </is>
      </c>
      <c r="C10" s="8" t="inlineStr">
        <is>
          <t>- Very broad connectivity (files, FTP, web services, mainframe, all major RDBMS)
- Mature workflow manager, restartability and operational monitoring
- Metadata Manager lineage; large pool of PowerCenter developers in Turkey (MKK uses it)
- Takasbank already has an Informatica relationship (TDM for non-prod masking)</t>
        </is>
      </c>
      <c r="D10" s="8" t="inlineStr">
        <is>
          <t>- Pure SQL pushdown on Exadata - same compute advantage as ODI
- Code-first: Git, pull-request review, automated tests, environments, docs site
- Built-in data tests, snapshots (SCD2), incremental merge and microbatch strategies
- Zero licence cost and no procurement - can start the pilot immediately</t>
        </is>
      </c>
      <c r="E10" s="8" t="inlineStr">
        <is>
          <t>- Strongest native streaming stack (Kafka, Flink, NiFi) for S0 event pipelines
- SDX governance: Atlas lineage, Ranger policies, Kerberos - fully on-prem
- NiFi handles FTP/CSV, EPIAS web services and API ingestion well
- Scales to data sizes far beyond Takasbank's (~10 TB Kale)</t>
        </is>
      </c>
      <c r="F10" s="8" t="inlineStr">
        <is>
          <t>- Most flexible engine: Python/Scala/SQL, ML, streaming (Real-time Mode), CDC APIs in 4.2
- No licence cost; huge community
- Code-first, testable, Git-native</t>
        </is>
      </c>
    </row>
    <row r="11" ht="210" customHeight="1">
      <c r="A11" s="6" t="inlineStr">
        <is>
          <t>Weaknesses</t>
        </is>
      </c>
      <c r="B11" s="8" t="inlineStr">
        <is>
          <t>- GUI-centric development; Git integration exists but merge/branching is awkward compared to code-first tools
- Licence follows agent hosts; HA topology adds WebLogic/Coherence licences
- Real-time capability is borrowed from GoldenGate, which the DBA team distrusts and has no 24/7 cover for
- 14c requires Python 3 for custom KMs (Jython deprecated) - small learning item</t>
        </is>
      </c>
      <c r="C11" s="8" t="inlineStr">
        <is>
          <t>- End-of-support product: buying it in 2026 for a 10-year DWH is buying a forced migration
- Successor (CDI-PC / IDMC) puts the control plane in the cloud - conflicts with 'data and operations stay inside the bank'
- Row-by-row engine by default; full pushdown to Exadata needs the PDO option and still leaves an ETL server tier
- Repository-based development; weak Git/CI story</t>
        </is>
      </c>
      <c r="D11" s="8" t="inlineStr">
        <is>
          <t>- Transformation only: no extraction, file handling, web services or CDC - a landing framework must be built
- Model-level lineage only in Core; column-level lineage is a dbt platform (SaaS) feature
- No commercial support for on-prem Core; Oracle adapter lags the cloud-warehouse adapters
- Jinja/YAML and Git workflow are new to a PL/SQL team</t>
        </is>
      </c>
      <c r="E11" s="8" t="inlineStr">
        <is>
          <t>- A second data platform beside three Exadata machines that are 77-90% free
- Data must leave Exadata to be processed and come back for MSTR - double copies, double security perimeter
- Hadoop/Kafka/Spark skills absent; needs a platform team and 24/7 operations
- Oracle CDC still needs a log reader (Debezium LogMiner or GoldenGate) on the Kale side</t>
        </is>
      </c>
      <c r="F11" s="8" t="inlineStr">
        <is>
          <t>- Everything around the engine is DIY: scheduling, security, lineage, monitoring, upgrades
- Moves data off Exadata through JDBC - the slowest path for a 2-billion-row SWIFT table
- Requires Python/Scala data engineers and a platform team Takasbank does not have
- Real-time Mode is still marked experimental for parts of the API</t>
        </is>
      </c>
    </row>
    <row r="12" ht="60" customHeight="1">
      <c r="A12" s="6" t="inlineStr">
        <is>
          <t>Takasbank fit</t>
        </is>
      </c>
      <c r="B12" s="8" t="inlineStr">
        <is>
          <t>Best structural fit: Oracle-only estate, Exadata already paid for, PL/SQL team, Kale-centric sources, files and BIDB pulls.</t>
        </is>
      </c>
      <c r="C12" s="8" t="inlineStr">
        <is>
          <t>Fails the support-horizon gate. Only defensible as a short-term bridge for an existing PowerCenter estate - which Takasbank does not have.</t>
        </is>
      </c>
      <c r="D12" s="8" t="inlineStr">
        <is>
          <t>Strong transformation layer and the fastest start, but needs a separate, home-built ingestion and orchestration layer.</t>
        </is>
      </c>
      <c r="E12" s="8" t="inlineStr">
        <is>
          <t>Over-sized for a 10 TB Oracle-centric DWH. Revisit only for a future streaming/AI or unstructured-data mandate.</t>
        </is>
      </c>
      <c r="F12" s="8" t="inlineStr">
        <is>
          <t>Weakest fit: maximum engineering load, minimum use of existing Oracle investment.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36" customWidth="1" min="3" max="3"/>
    <col width="4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Real-time and operational reporting by latency class (S0-S4)</t>
        </is>
      </c>
    </row>
    <row r="2">
      <c r="A2" s="2" t="inlineStr">
        <is>
          <t>Score 1-5 = how well the tool stack serves the class without touching prod Kale. Recommended pattern is tool-independent.</t>
        </is>
      </c>
    </row>
    <row r="4">
      <c r="A4" s="5" t="inlineStr">
        <is>
          <t>Class</t>
        </is>
      </c>
      <c r="B4" s="5" t="inlineStr">
        <is>
          <t>Meaning</t>
        </is>
      </c>
      <c r="C4" s="5" t="inlineStr">
        <is>
          <t>Takasbank example</t>
        </is>
      </c>
      <c r="D4" s="5" t="inlineStr">
        <is>
          <t>Recommended pattern</t>
        </is>
      </c>
      <c r="E4" s="5" t="inlineStr">
        <is>
          <t>ODI</t>
        </is>
      </c>
      <c r="F4" s="5" t="inlineStr">
        <is>
          <t>PowerCenter</t>
        </is>
      </c>
      <c r="G4" s="5" t="inlineStr">
        <is>
          <t>dbt</t>
        </is>
      </c>
      <c r="H4" s="5" t="inlineStr">
        <is>
          <t>CDP</t>
        </is>
      </c>
      <c r="I4" s="5" t="inlineStr">
        <is>
          <t>Spark</t>
        </is>
      </c>
    </row>
    <row r="5" ht="60" customHeight="1">
      <c r="A5" s="8" t="inlineStr">
        <is>
          <t>S0</t>
        </is>
      </c>
      <c r="B5" s="8" t="inlineStr">
        <is>
          <t>Near real-time (seconds)</t>
        </is>
      </c>
      <c r="C5" s="8" t="inlineStr">
        <is>
          <t>Izleme screens, Team Developer current-state queries</t>
        </is>
      </c>
      <c r="D5" s="8" t="inlineStr">
        <is>
          <t>Kale ADG read-only standby on sur; GoldenGate -&gt; LND -&gt; ODS_ projection only for products with a proven SLA</t>
        </is>
      </c>
      <c r="E5" s="7" t="n">
        <v>2</v>
      </c>
      <c r="F5" s="7" t="n">
        <v>3</v>
      </c>
      <c r="G5" s="7" t="n">
        <v>1</v>
      </c>
      <c r="H5" s="7" t="n">
        <v>5</v>
      </c>
      <c r="I5" s="7" t="n">
        <v>4</v>
      </c>
    </row>
    <row r="6" ht="60" customHeight="1">
      <c r="A6" s="8" t="inlineStr">
        <is>
          <t>S1</t>
        </is>
      </c>
      <c r="B6" s="8" t="inlineStr">
        <is>
          <t>Intraday micro-batch (5-30 min)</t>
        </is>
      </c>
      <c r="C6" s="8" t="inlineStr">
        <is>
          <t>Fon Bilgilendirme 08:00-17:45 with correction files</t>
        </is>
      </c>
      <c r="D6" s="8" t="inlineStr">
        <is>
          <t>Watermark/SCN-based micro-batch from the standby into LND, recompute affected funds only</t>
        </is>
      </c>
      <c r="E6" s="7" t="n">
        <v>4</v>
      </c>
      <c r="F6" s="7" t="n">
        <v>4</v>
      </c>
      <c r="G6" s="7" t="n">
        <v>3</v>
      </c>
      <c r="H6" s="7" t="n">
        <v>5</v>
      </c>
      <c r="I6" s="7" t="n">
        <v>4</v>
      </c>
    </row>
    <row r="7" ht="60" customHeight="1">
      <c r="A7" s="8" t="inlineStr">
        <is>
          <t>S2</t>
        </is>
      </c>
      <c r="B7" s="8" t="inlineStr">
        <is>
          <t>Gün sonu (T-1)</t>
        </is>
      </c>
      <c r="C7" s="8" t="inlineStr">
        <is>
          <t>BISTECH SPK 13 reports, SWIFT legal reports, takas positions</t>
        </is>
      </c>
      <c r="D7" s="8" t="inlineStr">
        <is>
          <t>SCN-consistent extract from standby after the machine-readable gün sonu event</t>
        </is>
      </c>
      <c r="E7" s="7" t="n">
        <v>5</v>
      </c>
      <c r="F7" s="7" t="n">
        <v>4</v>
      </c>
      <c r="G7" s="7" t="n">
        <v>5</v>
      </c>
      <c r="H7" s="7" t="n">
        <v>3</v>
      </c>
      <c r="I7" s="7" t="n">
        <v>3</v>
      </c>
    </row>
    <row r="8" ht="60" customHeight="1">
      <c r="A8" s="8" t="inlineStr">
        <is>
          <t>S3</t>
        </is>
      </c>
      <c r="B8" s="8" t="inlineStr">
        <is>
          <t>Scheduled file / external feed</t>
        </is>
      </c>
      <c r="C8" s="8" t="inlineStr">
        <is>
          <t>FTP/CSV, EPIAS web services, Borsa DWH fund contracts, Verda file output</t>
        </is>
      </c>
      <c r="D8" s="8" t="inlineStr">
        <is>
          <t>Manifest + checksum landing; external tables for files; web-service pull into LND_FILE / LND_EPIAS</t>
        </is>
      </c>
      <c r="E8" s="7" t="n">
        <v>4</v>
      </c>
      <c r="F8" s="7" t="n">
        <v>5</v>
      </c>
      <c r="G8" s="7" t="n">
        <v>1</v>
      </c>
      <c r="H8" s="7" t="n">
        <v>5</v>
      </c>
      <c r="I8" s="7" t="n">
        <v>3</v>
      </c>
    </row>
    <row r="9" ht="60" customHeight="1">
      <c r="A9" s="8" t="inlineStr">
        <is>
          <t>S4</t>
        </is>
      </c>
      <c r="B9" s="8" t="inlineStr">
        <is>
          <t>Backfill / replay</t>
        </is>
      </c>
      <c r="C9" s="8" t="inlineStr">
        <is>
          <t>10-year fund history, 2013+ SWIFT history, ARSIV yearly rollovers</t>
        </is>
      </c>
      <c r="D9" s="8" t="inlineStr">
        <is>
          <t>Replay from immutable landing with a separate load_id; partition exchange for bulk history</t>
        </is>
      </c>
      <c r="E9" s="7" t="n">
        <v>5</v>
      </c>
      <c r="F9" s="7" t="n">
        <v>3</v>
      </c>
      <c r="G9" s="7" t="n">
        <v>5</v>
      </c>
      <c r="H9" s="7" t="n">
        <v>4</v>
      </c>
      <c r="I9" s="7" t="n">
        <v>4</v>
      </c>
    </row>
    <row r="11">
      <c r="A11" s="3" t="inlineStr">
        <is>
          <t>Notes per tool</t>
        </is>
      </c>
    </row>
    <row r="12">
      <c r="A12" s="5" t="inlineStr">
        <is>
          <t>Class</t>
        </is>
      </c>
      <c r="B12" s="5" t="inlineStr"/>
      <c r="C12" s="5" t="inlineStr"/>
      <c r="D12" s="5" t="inlineStr"/>
      <c r="E12" s="5" t="inlineStr">
        <is>
          <t>ODI</t>
        </is>
      </c>
      <c r="F12" s="5" t="inlineStr">
        <is>
          <t>PowerCenter</t>
        </is>
      </c>
      <c r="G12" s="5" t="inlineStr">
        <is>
          <t>dbt</t>
        </is>
      </c>
      <c r="H12" s="5" t="inlineStr">
        <is>
          <t>CDP</t>
        </is>
      </c>
      <c r="I12" s="5" t="inlineStr">
        <is>
          <t>Spark</t>
        </is>
      </c>
    </row>
    <row r="13">
      <c r="A13" s="8" t="inlineStr">
        <is>
          <t>S0</t>
        </is>
      </c>
      <c r="B13" s="8" t="inlineStr"/>
      <c r="C13" s="8" t="inlineStr"/>
      <c r="D13" s="8" t="inlineStr"/>
      <c r="E13" s="8" t="inlineStr">
        <is>
          <t>Only with GoldenGate JKM</t>
        </is>
      </c>
      <c r="F13" s="8" t="inlineStr">
        <is>
          <t>PowerExchange CDC / real-time option</t>
        </is>
      </c>
      <c r="G13" s="8" t="inlineStr">
        <is>
          <t>Not supported</t>
        </is>
      </c>
      <c r="H13" s="8" t="inlineStr">
        <is>
          <t>Kafka/Flink/NiFi native</t>
        </is>
      </c>
      <c r="I13" s="8" t="inlineStr">
        <is>
          <t>Structured Streaming + Kafka</t>
        </is>
      </c>
    </row>
    <row r="14">
      <c r="A14" s="8" t="inlineStr">
        <is>
          <t>S1</t>
        </is>
      </c>
      <c r="B14" s="8" t="inlineStr"/>
      <c r="C14" s="8" t="inlineStr"/>
      <c r="D14" s="8" t="inlineStr"/>
      <c r="E14" s="8" t="inlineStr">
        <is>
          <t>Scheduled load plans, CDC on watermark or GG</t>
        </is>
      </c>
      <c r="F14" s="8" t="inlineStr">
        <is>
          <t>Scheduled workflows / CDC</t>
        </is>
      </c>
      <c r="G14" s="8" t="inlineStr">
        <is>
          <t>Microbatch incremental, scheduled by Automic</t>
        </is>
      </c>
      <c r="H14" s="8" t="inlineStr">
        <is>
          <t>Streaming or micro-batch</t>
        </is>
      </c>
      <c r="I14" s="8" t="inlineStr">
        <is>
          <t>Trigger-based micro-batch</t>
        </is>
      </c>
    </row>
    <row r="15">
      <c r="A15" s="8" t="inlineStr">
        <is>
          <t>S2</t>
        </is>
      </c>
      <c r="B15" s="8" t="inlineStr"/>
      <c r="C15" s="8" t="inlineStr"/>
      <c r="D15" s="8" t="inlineStr"/>
      <c r="E15" s="8" t="inlineStr">
        <is>
          <t>Core use case</t>
        </is>
      </c>
      <c r="F15" s="8" t="inlineStr">
        <is>
          <t>Core use case, engine tier</t>
        </is>
      </c>
      <c r="G15" s="8" t="inlineStr">
        <is>
          <t>Core use case once landed</t>
        </is>
      </c>
      <c r="H15" s="8" t="inlineStr">
        <is>
          <t>Works, but off-Exadata</t>
        </is>
      </c>
      <c r="I15" s="8" t="inlineStr">
        <is>
          <t>Works, but off-Exadata</t>
        </is>
      </c>
    </row>
    <row r="16">
      <c r="A16" s="8" t="inlineStr">
        <is>
          <t>S3</t>
        </is>
      </c>
      <c r="B16" s="8" t="inlineStr"/>
      <c r="C16" s="8" t="inlineStr"/>
      <c r="D16" s="8" t="inlineStr"/>
      <c r="E16" s="8" t="inlineStr">
        <is>
          <t>File and web-service tools</t>
        </is>
      </c>
      <c r="F16" s="8" t="inlineStr">
        <is>
          <t>Broadest connectors</t>
        </is>
      </c>
      <c r="G16" s="8" t="inlineStr">
        <is>
          <t>Needs separate ingestion</t>
        </is>
      </c>
      <c r="H16" s="8" t="inlineStr">
        <is>
          <t>NiFi</t>
        </is>
      </c>
      <c r="I16" s="8" t="inlineStr">
        <is>
          <t>Custom code</t>
        </is>
      </c>
    </row>
    <row r="17">
      <c r="A17" s="8" t="inlineStr">
        <is>
          <t>S4</t>
        </is>
      </c>
      <c r="B17" s="8" t="inlineStr"/>
      <c r="C17" s="8" t="inlineStr"/>
      <c r="D17" s="8" t="inlineStr"/>
      <c r="E17" s="8" t="inlineStr">
        <is>
          <t>Set-based bulk + partition exchange</t>
        </is>
      </c>
      <c r="F17" s="8" t="inlineStr">
        <is>
          <t>Engine throughput bound</t>
        </is>
      </c>
      <c r="G17" s="8" t="inlineStr">
        <is>
          <t>full-refresh / microbatch backfill</t>
        </is>
      </c>
      <c r="H17" s="8" t="inlineStr">
        <is>
          <t>Scales out, then write back</t>
        </is>
      </c>
      <c r="I17" s="8" t="inlineStr">
        <is>
          <t>Scales out, then write back</t>
        </is>
      </c>
    </row>
  </sheetData>
  <conditionalFormatting sqref="E5:I9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Fit to Takasbank workloads (1-5)</t>
        </is>
      </c>
    </row>
    <row r="2">
      <c r="A2" s="2" t="inlineStr">
        <is>
          <t>Workloads taken from the July 2025 DWH presentation and UG meeting notes.</t>
        </is>
      </c>
    </row>
    <row r="4">
      <c r="A4" s="5" t="inlineStr">
        <is>
          <t>ID</t>
        </is>
      </c>
      <c r="B4" s="5" t="inlineStr">
        <is>
          <t>Use case</t>
        </is>
      </c>
      <c r="C4" s="5" t="inlineStr">
        <is>
          <t>Volume / behaviour</t>
        </is>
      </c>
      <c r="D4" s="5" t="inlineStr">
        <is>
          <t>ODI</t>
        </is>
      </c>
      <c r="E4" s="5" t="inlineStr">
        <is>
          <t>PowerCenter</t>
        </is>
      </c>
      <c r="F4" s="5" t="inlineStr">
        <is>
          <t>dbt</t>
        </is>
      </c>
      <c r="G4" s="5" t="inlineStr">
        <is>
          <t>CDP</t>
        </is>
      </c>
      <c r="H4" s="5" t="inlineStr">
        <is>
          <t>Spark</t>
        </is>
      </c>
    </row>
    <row r="5" ht="48" customHeight="1">
      <c r="A5" s="8" t="inlineStr">
        <is>
          <t>UC1</t>
        </is>
      </c>
      <c r="B5" s="8" t="inlineStr">
        <is>
          <t>SWIFT legal reports</t>
        </is>
      </c>
      <c r="C5" s="8" t="inlineStr">
        <is>
          <t>2B rows / 170 GB since 2013, ~1M messages/day; collapse to ~24M one-row-per-message summary; free-text ID search; T-1.</t>
        </is>
      </c>
      <c r="D5" s="9" t="n">
        <v>5</v>
      </c>
      <c r="E5" s="9" t="n">
        <v>3</v>
      </c>
      <c r="F5" s="9" t="n">
        <v>5</v>
      </c>
      <c r="G5" s="9" t="n">
        <v>3</v>
      </c>
      <c r="H5" s="9" t="n">
        <v>3</v>
      </c>
    </row>
    <row r="6" ht="48" customHeight="1">
      <c r="A6" s="8" t="inlineStr">
        <is>
          <t>UC2</t>
        </is>
      </c>
      <c r="B6" s="8" t="inlineStr">
        <is>
          <t>Fon Bilgilendirme platform</t>
        </is>
      </c>
      <c r="C6" s="8" t="inlineStr">
        <is>
          <t>~60k fund notifications/day, recalculation 08:00-17:45 with correction files; 10-year history via CSV and web service.</t>
        </is>
      </c>
      <c r="D6" s="9" t="n">
        <v>4</v>
      </c>
      <c r="E6" s="9" t="n">
        <v>3</v>
      </c>
      <c r="F6" s="9" t="n">
        <v>3</v>
      </c>
      <c r="G6" s="9" t="n">
        <v>4</v>
      </c>
      <c r="H6" s="9" t="n">
        <v>3</v>
      </c>
    </row>
    <row r="7" ht="48" customHeight="1">
      <c r="A7" s="8" t="inlineStr">
        <is>
          <t>UC3</t>
        </is>
      </c>
      <c r="B7" s="8" t="inlineStr">
        <is>
          <t>Fon islem defterleri</t>
        </is>
      </c>
      <c r="C7" s="8" t="inlineStr">
        <is>
          <t>9M Borsa DWH fund contracts/day (deleted at source after 5 days), cleanse to ~600k, files twice a day per market to Borsa Verda.</t>
        </is>
      </c>
      <c r="D7" s="9" t="n">
        <v>4</v>
      </c>
      <c r="E7" s="9" t="n">
        <v>4</v>
      </c>
      <c r="F7" s="9" t="n">
        <v>2</v>
      </c>
      <c r="G7" s="9" t="n">
        <v>4</v>
      </c>
      <c r="H7" s="9" t="n">
        <v>3</v>
      </c>
    </row>
    <row r="8" ht="48" customHeight="1">
      <c r="A8" s="8" t="inlineStr">
        <is>
          <t>UC4</t>
        </is>
      </c>
      <c r="B8" s="8" t="inlineStr">
        <is>
          <t>BISTECH SPK 13 reports</t>
        </is>
      </c>
      <c r="C8" s="8" t="inlineStr">
        <is>
          <t>Kale NOMX + Replica BIDB, after Takas UG gün sonu; replace DB_ARSIV dblink views with PUB snapshots.</t>
        </is>
      </c>
      <c r="D8" s="9" t="n">
        <v>5</v>
      </c>
      <c r="E8" s="9" t="n">
        <v>4</v>
      </c>
      <c r="F8" s="9" t="n">
        <v>4</v>
      </c>
      <c r="G8" s="9" t="n">
        <v>2</v>
      </c>
      <c r="H8" s="9" t="n">
        <v>2</v>
      </c>
    </row>
    <row r="9" ht="48" customHeight="1">
      <c r="A9" s="8" t="inlineStr">
        <is>
          <t>UC5</t>
        </is>
      </c>
      <c r="B9" s="8" t="inlineStr">
        <is>
          <t>EPIAS energy settlement feeds</t>
        </is>
      </c>
      <c r="C9" s="8" t="inlineStr">
        <is>
          <t>Order/settlement files via web services, 5-10k records/day, collateral data, avans.takas table.</t>
        </is>
      </c>
      <c r="D9" s="9" t="n">
        <v>3</v>
      </c>
      <c r="E9" s="9" t="n">
        <v>4</v>
      </c>
      <c r="F9" s="9" t="n">
        <v>1</v>
      </c>
      <c r="G9" s="9" t="n">
        <v>5</v>
      </c>
      <c r="H9" s="9" t="n">
        <v>2</v>
      </c>
    </row>
    <row r="10" ht="48" customHeight="1">
      <c r="A10" s="8" t="inlineStr">
        <is>
          <t>UC6</t>
        </is>
      </c>
      <c r="B10" s="8" t="inlineStr">
        <is>
          <t>Operational izleme screens (S0)</t>
        </is>
      </c>
      <c r="C10" s="8" t="inlineStr">
        <is>
          <t>Intraday current-state queries now hitting prod Kale from Team Developer / React.</t>
        </is>
      </c>
      <c r="D10" s="9" t="n">
        <v>2</v>
      </c>
      <c r="E10" s="9" t="n">
        <v>2</v>
      </c>
      <c r="F10" s="9" t="n">
        <v>1</v>
      </c>
      <c r="G10" s="9" t="n">
        <v>4</v>
      </c>
      <c r="H10" s="9" t="n">
        <v>3</v>
      </c>
    </row>
    <row r="11" ht="48" customHeight="1">
      <c r="A11" s="8" t="inlineStr">
        <is>
          <t>UC7</t>
        </is>
      </c>
      <c r="B11" s="8" t="inlineStr">
        <is>
          <t>Takas positions and history</t>
        </is>
      </c>
      <c r="C11" s="8" t="inlineStr">
        <is>
          <t>~20M derivative and non-derivative positions/day; yearly banka -&gt; banka_old -&gt; arsiv rollover moves into DWH partitions.</t>
        </is>
      </c>
      <c r="D11" s="9" t="n">
        <v>5</v>
      </c>
      <c r="E11" s="9" t="n">
        <v>3</v>
      </c>
      <c r="F11" s="9" t="n">
        <v>4</v>
      </c>
      <c r="G11" s="9" t="n">
        <v>4</v>
      </c>
      <c r="H11" s="9" t="n">
        <v>4</v>
      </c>
    </row>
    <row r="12">
      <c r="B12" s="10" t="inlineStr">
        <is>
          <t>Average fit</t>
        </is>
      </c>
      <c r="D12" s="11">
        <f>ROUND(AVERAGE(D5:D11),2)</f>
        <v/>
      </c>
      <c r="E12" s="11">
        <f>ROUND(AVERAGE(E5:E11),2)</f>
        <v/>
      </c>
      <c r="F12" s="11">
        <f>ROUND(AVERAGE(F5:F11),2)</f>
        <v/>
      </c>
      <c r="G12" s="11">
        <f>ROUND(AVERAGE(G5:G11),2)</f>
        <v/>
      </c>
      <c r="H12" s="11">
        <f>ROUND(AVERAGE(H5:H11),2)</f>
        <v/>
      </c>
    </row>
  </sheetData>
  <conditionalFormatting sqref="D5:H11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>
      <c r="A1" s="1" t="inlineStr">
        <is>
          <t>5-year TCO drivers (bands, not quotes)</t>
        </is>
      </c>
    </row>
    <row r="2">
      <c r="A2" s="2" t="inlineStr">
        <is>
          <t>List prices are public reference points only; Takasbank must obtain quotes. Higher band = higher cost.</t>
        </is>
      </c>
    </row>
    <row r="4">
      <c r="A4" s="5" t="inlineStr">
        <is>
          <t>Driver</t>
        </is>
      </c>
      <c r="B4" s="5" t="inlineStr">
        <is>
          <t>ODI</t>
        </is>
      </c>
      <c r="C4" s="5" t="inlineStr">
        <is>
          <t>PowerCenter</t>
        </is>
      </c>
      <c r="D4" s="5" t="inlineStr">
        <is>
          <t>dbt</t>
        </is>
      </c>
      <c r="E4" s="5" t="inlineStr">
        <is>
          <t>CDP</t>
        </is>
      </c>
      <c r="F4" s="5" t="inlineStr">
        <is>
          <t>Spark</t>
        </is>
      </c>
    </row>
    <row r="5" ht="55" customHeight="1">
      <c r="A5" s="6" t="inlineStr">
        <is>
          <t>Software licence (5 yr)</t>
        </is>
      </c>
      <c r="B5" s="8" t="inlineStr">
        <is>
          <t>Medium-High: list ref. USD 30k per processor on agent hosts (x86 core factor 0.5) + 22%/yr support</t>
        </is>
      </c>
      <c r="C5" s="8" t="inlineStr">
        <is>
          <t>High: quote-based; extended-support premium; migration to IPU billing within window</t>
        </is>
      </c>
      <c r="D5" s="8" t="inlineStr">
        <is>
          <t>None</t>
        </is>
      </c>
      <c r="E5" s="8" t="inlineStr">
        <is>
          <t>High: CCU + data-under-management subscription (quote-based)</t>
        </is>
      </c>
      <c r="F5" s="8" t="inlineStr">
        <is>
          <t>None</t>
        </is>
      </c>
    </row>
    <row r="6" ht="55" customHeight="1">
      <c r="A6" s="6" t="inlineStr">
        <is>
          <t>CDC / real-time add-on</t>
        </is>
      </c>
      <c r="B6" s="8" t="inlineStr">
        <is>
          <t>GoldenGate per processor on capture/delivery hosts, only for S0 products (licence includes ADG entitlement)</t>
        </is>
      </c>
      <c r="C6" s="8" t="inlineStr">
        <is>
          <t>PowerExchange CDC licence</t>
        </is>
      </c>
      <c r="D6" s="8" t="inlineStr">
        <is>
          <t>External (ADG / GoldenGate)</t>
        </is>
      </c>
      <c r="E6" s="8" t="inlineStr">
        <is>
          <t>Included in Cloudera Streaming subscription; Oracle log reader still needed</t>
        </is>
      </c>
      <c r="F6" s="8" t="inlineStr">
        <is>
          <t>Kafka + Debezium (free) - operate yourself</t>
        </is>
      </c>
    </row>
    <row r="7" ht="55" customHeight="1">
      <c r="A7" s="6" t="inlineStr">
        <is>
          <t>Infrastructure</t>
        </is>
      </c>
      <c r="B7" s="8" t="inlineStr">
        <is>
          <t>Low: 2 agent VMs; compute on existing Exadata</t>
        </is>
      </c>
      <c r="C7" s="8" t="inlineStr">
        <is>
          <t>Medium: integration-service servers + repository DB</t>
        </is>
      </c>
      <c r="D7" s="8" t="inlineStr">
        <is>
          <t>Low: runner VMs; compute on existing Exadata</t>
        </is>
      </c>
      <c r="E7" s="8" t="inlineStr">
        <is>
          <t>High: new multi-node cluster (storage, masters, Kafka brokers)</t>
        </is>
      </c>
      <c r="F7" s="8" t="inlineStr">
        <is>
          <t>High: new Kubernetes/YARN cluster + Kafka</t>
        </is>
      </c>
    </row>
    <row r="8" ht="55" customHeight="1">
      <c r="A8" s="6" t="inlineStr">
        <is>
          <t>People (build + run)</t>
        </is>
      </c>
      <c r="B8" s="8" t="inlineStr">
        <is>
          <t>2 data engineers + part-time ODI admin</t>
        </is>
      </c>
      <c r="C8" s="8" t="inlineStr">
        <is>
          <t>2 ETL developers + Informatica admin</t>
        </is>
      </c>
      <c r="D8" s="8" t="inlineStr">
        <is>
          <t>2-3 data engineers (incl. ingestion framework) + DevOps support</t>
        </is>
      </c>
      <c r="E8" s="8" t="inlineStr">
        <is>
          <t>Platform team 3-4 + 2 data engineers; 24/7 on-call</t>
        </is>
      </c>
      <c r="F8" s="8" t="inlineStr">
        <is>
          <t>3-5 platform/data engineers; 24/7 on-call</t>
        </is>
      </c>
    </row>
    <row r="9" ht="55" customHeight="1">
      <c r="A9" s="6" t="inlineStr">
        <is>
          <t>Training / hiring risk</t>
        </is>
      </c>
      <c r="B9" s="8" t="inlineStr">
        <is>
          <t>Low-Medium</t>
        </is>
      </c>
      <c r="C9" s="8" t="inlineStr">
        <is>
          <t>Medium</t>
        </is>
      </c>
      <c r="D9" s="8" t="inlineStr">
        <is>
          <t>Low-Medium</t>
        </is>
      </c>
      <c r="E9" s="8" t="inlineStr">
        <is>
          <t>High</t>
        </is>
      </c>
      <c r="F9" s="8" t="inlineStr">
        <is>
          <t>High</t>
        </is>
      </c>
    </row>
    <row r="10" ht="55" customHeight="1">
      <c r="A10" s="6" t="inlineStr">
        <is>
          <t>Exit / migration cost</t>
        </is>
      </c>
      <c r="B10" s="8" t="inlineStr">
        <is>
          <t>Medium: logic in KMs/mappings, SQL is visible</t>
        </is>
      </c>
      <c r="C10" s="8" t="inlineStr">
        <is>
          <t>High: forced re-platform before 2029</t>
        </is>
      </c>
      <c r="D10" s="8" t="inlineStr">
        <is>
          <t>Low: plain SQL in Git</t>
        </is>
      </c>
      <c r="E10" s="8" t="inlineStr">
        <is>
          <t>High</t>
        </is>
      </c>
      <c r="F10" s="8" t="inlineStr">
        <is>
          <t>Medium</t>
        </is>
      </c>
    </row>
    <row r="11" ht="55" customHeight="1">
      <c r="A11" s="6" t="inlineStr">
        <is>
          <t>Overall 5-year band</t>
        </is>
      </c>
      <c r="B11" s="8" t="inlineStr">
        <is>
          <t>Medium</t>
        </is>
      </c>
      <c r="C11" s="8" t="inlineStr">
        <is>
          <t>High</t>
        </is>
      </c>
      <c r="D11" s="8" t="inlineStr">
        <is>
          <t>Low</t>
        </is>
      </c>
      <c r="E11" s="8" t="inlineStr">
        <is>
          <t>Very high</t>
        </is>
      </c>
      <c r="F11" s="8" t="inlineStr">
        <is>
          <t>High</t>
        </is>
      </c>
    </row>
  </sheetData>
  <conditionalFormatting sqref="B11:F11">
    <cfRule type="cellIs" priority="1" operator="equal" dxfId="2">
      <formula>"Low"</formula>
    </cfRule>
    <cfRule type="cellIs" priority="2" operator="equal" dxfId="1">
      <formula>"Medium"</formula>
    </cfRule>
    <cfRule type="cellIs" priority="3" operator="equal" dxfId="0">
      <formula>"High"</formula>
    </cfRule>
    <cfRule type="cellIs" priority="4" operator="equal" dxfId="0">
      <formula>"Very high"</formula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12" customWidth="1" min="3" max="3"/>
    <col width="12" customWidth="1" min="4" max="4"/>
    <col width="72" customWidth="1" min="5" max="5"/>
  </cols>
  <sheetData>
    <row r="1">
      <c r="A1" s="1" t="inlineStr">
        <is>
          <t>Risk register by tool</t>
        </is>
      </c>
    </row>
    <row r="4">
      <c r="A4" s="5" t="inlineStr">
        <is>
          <t>Tool</t>
        </is>
      </c>
      <c r="B4" s="5" t="inlineStr">
        <is>
          <t>Risk</t>
        </is>
      </c>
      <c r="C4" s="5" t="inlineStr">
        <is>
          <t>Likelihood</t>
        </is>
      </c>
      <c r="D4" s="5" t="inlineStr">
        <is>
          <t>Impact</t>
        </is>
      </c>
      <c r="E4" s="5" t="inlineStr">
        <is>
          <t>Mitigation</t>
        </is>
      </c>
    </row>
    <row r="5" ht="45" customHeight="1">
      <c r="A5" s="8" t="inlineStr">
        <is>
          <t>ODI</t>
        </is>
      </c>
      <c r="B5" s="8" t="inlineStr">
        <is>
          <t>GoldenGate operational burden if S0 products are approved</t>
        </is>
      </c>
      <c r="C5" s="7" t="inlineStr">
        <is>
          <t>Medium</t>
        </is>
      </c>
      <c r="D5" s="7" t="inlineStr">
        <is>
          <t>High</t>
        </is>
      </c>
      <c r="E5" s="8" t="inlineStr">
        <is>
          <t>Serve raw izleme from ADG standby first; GoldenGate only per product with DBA on-call agreed; monitor lag in CTL.</t>
        </is>
      </c>
    </row>
    <row r="6" ht="45" customHeight="1">
      <c r="A6" s="8" t="inlineStr">
        <is>
          <t>ODI</t>
        </is>
      </c>
      <c r="B6" s="8" t="inlineStr">
        <is>
          <t>Licence scope creep (agents on more hosts, HA needs WebLogic EE)</t>
        </is>
      </c>
      <c r="C6" s="7" t="inlineStr">
        <is>
          <t>Medium</t>
        </is>
      </c>
      <c r="D6" s="7" t="inlineStr">
        <is>
          <t>Medium</t>
        </is>
      </c>
      <c r="E6" s="8" t="inlineStr">
        <is>
          <t>Fix agent topology before the PO; standalone agents with Automic-level failover instead of WebLogic cluster.</t>
        </is>
      </c>
    </row>
    <row r="7" ht="45" customHeight="1">
      <c r="A7" s="8" t="inlineStr">
        <is>
          <t>ODI</t>
        </is>
      </c>
      <c r="B7" s="8" t="inlineStr">
        <is>
          <t>GUI development hides logic from code review</t>
        </is>
      </c>
      <c r="C7" s="7" t="inlineStr">
        <is>
          <t>Medium</t>
        </is>
      </c>
      <c r="D7" s="7" t="inlineStr">
        <is>
          <t>Medium</t>
        </is>
      </c>
      <c r="E7" s="8" t="inlineStr">
        <is>
          <t>ODI VCS on Git, naming standards, scenario versioning, generated-SQL review in PR.</t>
        </is>
      </c>
    </row>
    <row r="8" ht="45" customHeight="1">
      <c r="A8" s="8" t="inlineStr">
        <is>
          <t>PowerCenter</t>
        </is>
      </c>
      <c r="B8" s="8" t="inlineStr">
        <is>
          <t>Product end-of-life forces a second migration</t>
        </is>
      </c>
      <c r="C8" s="7" t="inlineStr">
        <is>
          <t>High</t>
        </is>
      </c>
      <c r="D8" s="7" t="inlineStr">
        <is>
          <t>High</t>
        </is>
      </c>
      <c r="E8" s="8" t="inlineStr">
        <is>
          <t>Do not select; if ever considered, price the IDMC migration and confirm on-prem control-plane options in writing.</t>
        </is>
      </c>
    </row>
    <row r="9" ht="45" customHeight="1">
      <c r="A9" s="8" t="inlineStr">
        <is>
          <t>PowerCenter</t>
        </is>
      </c>
      <c r="B9" s="8" t="inlineStr">
        <is>
          <t>Cloud control plane conflicts with data-residency rules</t>
        </is>
      </c>
      <c r="C9" s="7" t="inlineStr">
        <is>
          <t>High</t>
        </is>
      </c>
      <c r="D9" s="7" t="inlineStr">
        <is>
          <t>High</t>
        </is>
      </c>
      <c r="E9" s="8" t="inlineStr">
        <is>
          <t>Legal/compliance review of CDI-PC Secure Agent connectivity before any further evaluation.</t>
        </is>
      </c>
    </row>
    <row r="10" ht="45" customHeight="1">
      <c r="A10" s="8" t="inlineStr">
        <is>
          <t>dbt</t>
        </is>
      </c>
      <c r="B10" s="8" t="inlineStr">
        <is>
          <t>Home-built ingestion framework becomes an unsupported product</t>
        </is>
      </c>
      <c r="C10" s="7" t="inlineStr">
        <is>
          <t>Medium</t>
        </is>
      </c>
      <c r="D10" s="7" t="inlineStr">
        <is>
          <t>High</t>
        </is>
      </c>
      <c r="E10" s="8" t="inlineStr">
        <is>
          <t>Keep landing minimal (external tables, PL/SQL pulls from standby), documented and owned; or pair with ODI for ingestion.</t>
        </is>
      </c>
    </row>
    <row r="11" ht="45" customHeight="1">
      <c r="A11" s="8" t="inlineStr">
        <is>
          <t>dbt</t>
        </is>
      </c>
      <c r="B11" s="8" t="inlineStr">
        <is>
          <t>Oracle adapter lags dbt v2 / Fusion</t>
        </is>
      </c>
      <c r="C11" s="7" t="inlineStr">
        <is>
          <t>High</t>
        </is>
      </c>
      <c r="D11" s="7" t="inlineStr">
        <is>
          <t>Medium</t>
        </is>
      </c>
      <c r="E11" s="8" t="inlineStr">
        <is>
          <t>Pin dbt-core 1.x + dbt-oracle; track adapter roadmap; avoid features exclusive to the SaaS platform.</t>
        </is>
      </c>
    </row>
    <row r="12" ht="45" customHeight="1">
      <c r="A12" s="8" t="inlineStr">
        <is>
          <t>dbt</t>
        </is>
      </c>
      <c r="B12" s="8" t="inlineStr">
        <is>
          <t>No vendor SLA for production incidents</t>
        </is>
      </c>
      <c r="C12" s="7" t="inlineStr">
        <is>
          <t>Medium</t>
        </is>
      </c>
      <c r="D12" s="7" t="inlineStr">
        <is>
          <t>Medium</t>
        </is>
      </c>
      <c r="E12" s="8" t="inlineStr">
        <is>
          <t>Third-party support contract or internal runbooks; failure surface is small because SQL runs in Oracle.</t>
        </is>
      </c>
    </row>
    <row r="13" ht="45" customHeight="1">
      <c r="A13" s="8" t="inlineStr">
        <is>
          <t>CDP</t>
        </is>
      </c>
      <c r="B13" s="8" t="inlineStr">
        <is>
          <t>Second platform without a platform team</t>
        </is>
      </c>
      <c r="C13" s="7" t="inlineStr">
        <is>
          <t>High</t>
        </is>
      </c>
      <c r="D13" s="7" t="inlineStr">
        <is>
          <t>High</t>
        </is>
      </c>
      <c r="E13" s="8" t="inlineStr">
        <is>
          <t>Do not adopt for the core DWH; reconsider only with a funded streaming/AI programme and team.</t>
        </is>
      </c>
    </row>
    <row r="14" ht="45" customHeight="1">
      <c r="A14" s="8" t="inlineStr">
        <is>
          <t>CDP</t>
        </is>
      </c>
      <c r="B14" s="8" t="inlineStr">
        <is>
          <t>Two copies of regulated data and two security perimeters</t>
        </is>
      </c>
      <c r="C14" s="7" t="inlineStr">
        <is>
          <t>High</t>
        </is>
      </c>
      <c r="D14" s="7" t="inlineStr">
        <is>
          <t>Medium</t>
        </is>
      </c>
      <c r="E14" s="8" t="inlineStr">
        <is>
          <t>Ranger/Atlas + KVKK classification on both sides; avoid by keeping the DWH on Exadata.</t>
        </is>
      </c>
    </row>
    <row r="15" ht="45" customHeight="1">
      <c r="A15" s="8" t="inlineStr">
        <is>
          <t>Spark</t>
        </is>
      </c>
      <c r="B15" s="8" t="inlineStr">
        <is>
          <t>DIY platform with no vendor support</t>
        </is>
      </c>
      <c r="C15" s="7" t="inlineStr">
        <is>
          <t>High</t>
        </is>
      </c>
      <c r="D15" s="7" t="inlineStr">
        <is>
          <t>High</t>
        </is>
      </c>
      <c r="E15" s="8" t="inlineStr">
        <is>
          <t>Not recommended; if needed, buy commercial support and limit to non-critical analytics.</t>
        </is>
      </c>
    </row>
    <row r="16" ht="45" customHeight="1">
      <c r="A16" s="8" t="inlineStr">
        <is>
          <t>Spark</t>
        </is>
      </c>
      <c r="B16" s="8" t="inlineStr">
        <is>
          <t>JDBC bottleneck for large Oracle loads</t>
        </is>
      </c>
      <c r="C16" s="7" t="inlineStr">
        <is>
          <t>High</t>
        </is>
      </c>
      <c r="D16" s="7" t="inlineStr">
        <is>
          <t>Medium</t>
        </is>
      </c>
      <c r="E16" s="8" t="inlineStr">
        <is>
          <t>Partitioned parallel reads, or keep heavy SQL inside Exadata.</t>
        </is>
      </c>
    </row>
    <row r="17" ht="45" customHeight="1">
      <c r="A17" s="8" t="inlineStr">
        <is>
          <t>All</t>
        </is>
      </c>
      <c r="B17" s="8" t="inlineStr">
        <is>
          <t>No machine-readable gün sonu completion signal</t>
        </is>
      </c>
      <c r="C17" s="7" t="inlineStr">
        <is>
          <t>High</t>
        </is>
      </c>
      <c r="D17" s="7" t="inlineStr">
        <is>
          <t>High</t>
        </is>
      </c>
      <c r="E17" s="8" t="inlineStr">
        <is>
          <t>Batch-control record (business date, run id, SCN) produced by operations before any S2 pipeline goes live.</t>
        </is>
      </c>
    </row>
    <row r="18" ht="45" customHeight="1">
      <c r="A18" s="8" t="inlineStr">
        <is>
          <t>All</t>
        </is>
      </c>
      <c r="B18" s="8" t="inlineStr">
        <is>
          <t>Historical rows updated in place break incremental loads</t>
        </is>
      </c>
      <c r="C18" s="7" t="inlineStr">
        <is>
          <t>Medium</t>
        </is>
      </c>
      <c r="D18" s="7" t="inlineStr">
        <is>
          <t>High</t>
        </is>
      </c>
      <c r="E18" s="8" t="inlineStr">
        <is>
          <t>Profile change columns on the standby; fall back to SCN snapshots and hash-diff where no reliable timestamp exists.</t>
        </is>
      </c>
    </row>
  </sheetData>
  <autoFilter ref="A4:E18"/>
  <conditionalFormatting sqref="C5:D18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5" customWidth="1" min="4" max="4"/>
    <col width="55" customWidth="1" min="5" max="5"/>
    <col width="12" customWidth="1" min="6" max="6"/>
    <col width="12" customWidth="1" min="7" max="7"/>
  </cols>
  <sheetData>
    <row r="1">
      <c r="A1" s="1" t="inlineStr">
        <is>
          <t>Proof of concept: ODI vs dbt head-to-head on Takasbank data</t>
        </is>
      </c>
    </row>
    <row r="2">
      <c r="A2" s="2" t="inlineStr">
        <is>
          <t>Run on the Kale standby and DSS, never prod Kale. PowerCenter excluded by gate G2; CDP/Spark excluded by fit.</t>
        </is>
      </c>
    </row>
    <row r="4">
      <c r="A4" s="5" t="inlineStr">
        <is>
          <t>Test</t>
        </is>
      </c>
      <c r="B4" s="5" t="inlineStr">
        <is>
          <t>Name</t>
        </is>
      </c>
      <c r="C4" s="5" t="inlineStr">
        <is>
          <t>Use case</t>
        </is>
      </c>
      <c r="D4" s="5" t="inlineStr">
        <is>
          <t>What is measured</t>
        </is>
      </c>
      <c r="E4" s="5" t="inlineStr">
        <is>
          <t>Acceptance criterion</t>
        </is>
      </c>
      <c r="F4" s="5" t="inlineStr">
        <is>
          <t>ODI result</t>
        </is>
      </c>
      <c r="G4" s="5" t="inlineStr">
        <is>
          <t>dbt result</t>
        </is>
      </c>
    </row>
    <row r="5" ht="48" customHeight="1">
      <c r="A5" s="8" t="inlineStr">
        <is>
          <t>T1</t>
        </is>
      </c>
      <c r="B5" s="8" t="inlineStr">
        <is>
          <t>SWIFT bulk + delta</t>
        </is>
      </c>
      <c r="C5" s="8" t="inlineStr">
        <is>
          <t>UC1</t>
        </is>
      </c>
      <c r="D5" s="8" t="inlineStr">
        <is>
          <t>Initial load of the 2B-row history and daily delta into the summary table; elapsed time, Exadata CPU/IO, Smart Scan offload ratio.</t>
        </is>
      </c>
      <c r="E5" s="8" t="inlineStr">
        <is>
          <t>Daily delta finishes inside the T-1 window; result matches the current Kale query for a sampled set of IDs.</t>
        </is>
      </c>
      <c r="F5" s="12" t="inlineStr"/>
      <c r="G5" s="12" t="inlineStr"/>
    </row>
    <row r="6" ht="48" customHeight="1">
      <c r="A6" s="8" t="inlineStr">
        <is>
          <t>T2</t>
        </is>
      </c>
      <c r="B6" s="8" t="inlineStr">
        <is>
          <t>Intraday Fon recompute</t>
        </is>
      </c>
      <c r="C6" s="8" t="inlineStr">
        <is>
          <t>UC2</t>
        </is>
      </c>
      <c r="D6" s="8" t="inlineStr">
        <is>
          <t>Micro-batch from standby every 15 min, with a correction file mid-day.</t>
        </is>
      </c>
      <c r="E6" s="8" t="inlineStr">
        <is>
          <t>End-to-end freshness 15 min or better; corrected fund recomputed; reruns are idempotent.</t>
        </is>
      </c>
      <c r="F6" s="12" t="inlineStr"/>
      <c r="G6" s="12" t="inlineStr"/>
    </row>
    <row r="7" ht="48" customHeight="1">
      <c r="A7" s="8" t="inlineStr">
        <is>
          <t>T3</t>
        </is>
      </c>
      <c r="B7" s="8" t="inlineStr">
        <is>
          <t>Borsa contract capture + Verda files</t>
        </is>
      </c>
      <c r="C7" s="8" t="inlineStr">
        <is>
          <t>UC3</t>
        </is>
      </c>
      <c r="D7" s="8" t="inlineStr">
        <is>
          <t>Land 9M contracts/day raw; cleanse; produce per-market files twice a day with manifest and hash.</t>
        </is>
      </c>
      <c r="E7" s="8" t="inlineStr">
        <is>
          <t>No lost day (5-day source retention); files byte-identical to the current output on a test day.</t>
        </is>
      </c>
      <c r="F7" s="12" t="inlineStr"/>
      <c r="G7" s="12" t="inlineStr"/>
    </row>
    <row r="8" ht="48" customHeight="1">
      <c r="A8" s="8" t="inlineStr">
        <is>
          <t>T4</t>
        </is>
      </c>
      <c r="B8" s="8" t="inlineStr">
        <is>
          <t>SPK report reconciliation</t>
        </is>
      </c>
      <c r="C8" s="8" t="inlineStr">
        <is>
          <t>UC4</t>
        </is>
      </c>
      <c r="D8" s="8" t="inlineStr">
        <is>
          <t>Build 3 of the 13 SPK reports from NOMX + Replica BIDB after the gün sonu event.</t>
        </is>
      </c>
      <c r="E8" s="8" t="inlineStr">
        <is>
          <t>100% reconciliation with the current Kale tables for the same business date.</t>
        </is>
      </c>
      <c r="F8" s="12" t="inlineStr"/>
      <c r="G8" s="12" t="inlineStr"/>
    </row>
    <row r="9" ht="48" customHeight="1">
      <c r="A9" s="8" t="inlineStr">
        <is>
          <t>T5</t>
        </is>
      </c>
      <c r="B9" s="8" t="inlineStr">
        <is>
          <t>Replay and backfill</t>
        </is>
      </c>
      <c r="C9" s="8" t="inlineStr">
        <is>
          <t>UC7</t>
        </is>
      </c>
      <c r="D9" s="8" t="inlineStr">
        <is>
          <t>Replay a failed day from landing under a new load_id; backfill one year of positions.</t>
        </is>
      </c>
      <c r="E9" s="8" t="inlineStr">
        <is>
          <t>Same result as the original run; no manual data fixes.</t>
        </is>
      </c>
      <c r="F9" s="12" t="inlineStr"/>
      <c r="G9" s="12" t="inlineStr"/>
    </row>
    <row r="10" ht="48" customHeight="1">
      <c r="A10" s="8" t="inlineStr">
        <is>
          <t>T6</t>
        </is>
      </c>
      <c r="B10" s="8" t="inlineStr">
        <is>
          <t>Restart after failure</t>
        </is>
      </c>
      <c r="C10" s="8" t="inlineStr">
        <is>
          <t>All</t>
        </is>
      </c>
      <c r="D10" s="8" t="inlineStr">
        <is>
          <t>Kill a run mid-load.</t>
        </is>
      </c>
      <c r="E10" s="8" t="inlineStr">
        <is>
          <t>Restarts from the failed step without duplicates; operator steps documented in a runbook.</t>
        </is>
      </c>
      <c r="F10" s="12" t="inlineStr"/>
      <c r="G10" s="12" t="inlineStr"/>
    </row>
    <row r="11" ht="48" customHeight="1">
      <c r="A11" s="8" t="inlineStr">
        <is>
          <t>T7</t>
        </is>
      </c>
      <c r="B11" s="8" t="inlineStr">
        <is>
          <t>Lineage</t>
        </is>
      </c>
      <c r="C11" s="8" t="inlineStr">
        <is>
          <t>UC4</t>
        </is>
      </c>
      <c r="D11" s="8" t="inlineStr">
        <is>
          <t>Trace one SPK report column back to source columns.</t>
        </is>
      </c>
      <c r="E11" s="8" t="inlineStr">
        <is>
          <t>Column-level lineage available without manual spreadsheets.</t>
        </is>
      </c>
      <c r="F11" s="12" t="inlineStr"/>
      <c r="G11" s="12" t="inlineStr"/>
    </row>
    <row r="12" ht="48" customHeight="1">
      <c r="A12" s="8" t="inlineStr">
        <is>
          <t>T8</t>
        </is>
      </c>
      <c r="B12" s="8" t="inlineStr">
        <is>
          <t>Automic + gün sonu event</t>
        </is>
      </c>
      <c r="C12" s="8" t="inlineStr">
        <is>
          <t>All</t>
        </is>
      </c>
      <c r="D12" s="8" t="inlineStr">
        <is>
          <t>Trigger the S2 chain from the batch-control record, not a clock.</t>
        </is>
      </c>
      <c r="E12" s="8" t="inlineStr">
        <is>
          <t>Chain starts on the event; failures alert Automic and the owner.</t>
        </is>
      </c>
      <c r="F12" s="12" t="inlineStr"/>
      <c r="G12" s="12" t="inlineStr"/>
    </row>
    <row r="13" ht="48" customHeight="1">
      <c r="A13" s="8" t="inlineStr">
        <is>
          <t>T9</t>
        </is>
      </c>
      <c r="B13" s="8" t="inlineStr">
        <is>
          <t>Security</t>
        </is>
      </c>
      <c r="C13" s="8" t="inlineStr">
        <is>
          <t>All</t>
        </is>
      </c>
      <c r="D13" s="8" t="inlineStr">
        <is>
          <t>Secrets handling, least-privilege accounts, TDE/VPD/redaction respected, audit of reads/exports.</t>
        </is>
      </c>
      <c r="E13" s="8" t="inlineStr">
        <is>
          <t>Security team sign-off; no data or metadata leaves the bank.</t>
        </is>
      </c>
      <c r="F13" s="12" t="inlineStr"/>
      <c r="G13" s="12" t="inlineStr"/>
    </row>
    <row r="14" ht="48" customHeight="1">
      <c r="A14" s="8" t="inlineStr">
        <is>
          <t>T10</t>
        </is>
      </c>
      <c r="B14" s="8" t="inlineStr">
        <is>
          <t>Promotion and CI</t>
        </is>
      </c>
      <c r="C14" s="8" t="inlineStr">
        <is>
          <t>All</t>
        </is>
      </c>
      <c r="D14" s="8" t="inlineStr">
        <is>
          <t>Promote a change DEV -&gt; TEST -&gt; PREPROD with automated tests.</t>
        </is>
      </c>
      <c r="E14" s="8" t="inlineStr">
        <is>
          <t>Repeatable, reviewed deployment with rollback.</t>
        </is>
      </c>
      <c r="F14" s="12" t="inlineStr"/>
      <c r="G14" s="12" t="inlineStr"/>
    </row>
  </sheetData>
  <dataValidations count="1">
    <dataValidation sqref="F5:G14" showDropDown="0" showInputMessage="0" showErrorMessage="0" allowBlank="1" type="list">
      <formula1>"Pass,Partial,Fail,Not run"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Takasbank context that drives the evaluation</t>
        </is>
      </c>
    </row>
    <row r="2">
      <c r="A2" s="2" t="inlineStr">
        <is>
          <t>Facts from the Obsidian vault notes (meetings, presentations, topology). Not vendor claims.</t>
        </is>
      </c>
    </row>
    <row r="4">
      <c r="A4" s="5" t="inlineStr">
        <is>
          <t>Topic</t>
        </is>
      </c>
      <c r="B4" s="5" t="inlineStr">
        <is>
          <t>Fact</t>
        </is>
      </c>
    </row>
    <row r="5" ht="35" customHeight="1">
      <c r="A5" s="6" t="inlineStr">
        <is>
          <t>Institution</t>
        </is>
      </c>
      <c r="B5" s="8" t="inlineStr">
        <is>
          <t>Post-trade market infrastructure (clearing, CCP, settlement, custody, payments); SPK/BDDK/TCMB regulated; data cannot leave the bank.</t>
        </is>
      </c>
    </row>
    <row r="6" ht="35" customHeight="1">
      <c r="A6" s="6" t="inlineStr">
        <is>
          <t>Core source</t>
        </is>
      </c>
      <c r="B6" s="8" t="inlineStr">
        <is>
          <t>Kale on the kale Exadata: ~90% of all data, ~10 TB, ~7,000 main + ~3,000 backup tables, no ERD; member tables duplicated per schema.</t>
        </is>
      </c>
    </row>
    <row r="7" ht="35" customHeight="1">
      <c r="A7" s="6" t="inlineStr">
        <is>
          <t>Other sources</t>
        </is>
      </c>
      <c r="B7" s="8" t="inlineStr">
        <is>
          <t>ARSIV (banka -&gt; banka_old -&gt; arsiv yearly), CekDB (cheque images as CLOB), BIST Replica BIDB / Borsa DWH, FTP/CSV, EPIAS web services, possibly Postgres/MSSQL.</t>
        </is>
      </c>
    </row>
    <row r="8" ht="35" customHeight="1">
      <c r="A8" s="6" t="inlineStr">
        <is>
          <t>Hardware</t>
        </is>
      </c>
      <c r="B8" s="8" t="inlineStr">
        <is>
          <t>Three Exadata (kale, sur, hisar), ~200 TB each, 77-90% disk free, sur CPU ~6-12%, hisar ~2-3% (Dec 2024 snapshot).</t>
        </is>
      </c>
    </row>
    <row r="9" ht="35" customHeight="1">
      <c r="A9" s="6" t="inlineStr">
        <is>
          <t>Replicas</t>
        </is>
      </c>
      <c r="B9" s="8" t="inlineStr">
        <is>
          <t>Kale has two Data Guard replicas, one on sur; DSS and PREPROD are detached from Kale at 07:00; tvsods is a live copy on kale.</t>
        </is>
      </c>
    </row>
    <row r="10" ht="35" customHeight="1">
      <c r="A10" s="6" t="inlineStr">
        <is>
          <t>Reporting</t>
        </is>
      </c>
      <c r="B10" s="8" t="inlineStr">
        <is>
          <t>Team Developer screens, React web, MicroStrategy (10-20% migrated), member terminal reports, SPK/MASAK/BDDK/Hazine reports with hour-level SLAs.</t>
        </is>
      </c>
    </row>
    <row r="11" ht="35" customHeight="1">
      <c r="A11" s="6" t="inlineStr">
        <is>
          <t>Real-time demand</t>
        </is>
      </c>
      <c r="B11" s="8" t="inlineStr">
        <is>
          <t>'Izleme' screens are near-real-time current-state views; Fon Bilgilendirme recalculates 08:00-17:45; Piyasalar UG reports performance problems.</t>
        </is>
      </c>
    </row>
    <row r="12" ht="35" customHeight="1">
      <c r="A12" s="6" t="inlineStr">
        <is>
          <t>Gün sonu</t>
        </is>
      </c>
      <c r="B12" s="8" t="inlineStr">
        <is>
          <t>Manually triggered, completion by e-mail; Preprod flashback snapshots 04:00-07:00; no machine-readable completion signal.</t>
        </is>
      </c>
    </row>
    <row r="13" ht="35" customHeight="1">
      <c r="A13" s="6" t="inlineStr">
        <is>
          <t>Team</t>
        </is>
      </c>
      <c r="B13" s="8" t="inlineStr">
        <is>
          <t>IZV: 1 manager + 2 MSTR developers; strong Oracle DBA/PL/SQL; no DWH/ETL experience; table knowledge sits with UG analysts.</t>
        </is>
      </c>
    </row>
    <row r="14" ht="35" customHeight="1">
      <c r="A14" s="6" t="inlineStr">
        <is>
          <t>Operations</t>
        </is>
      </c>
      <c r="B14" s="8" t="inlineStr">
        <is>
          <t>No 24/7 monitoring team; DBA team considers GoldenGate fragile; Automic used as scheduler by several teams.</t>
        </is>
      </c>
    </row>
    <row r="15" ht="35" customHeight="1">
      <c r="A15" s="6" t="inlineStr">
        <is>
          <t>Licences known</t>
        </is>
      </c>
      <c r="B15" s="8" t="inlineStr">
        <is>
          <t>Informatica TDM (masking) only; GoldenGate licence status disputed (Obase: exists; DBA: new); ADG status to be confirmed.</t>
        </is>
      </c>
    </row>
    <row r="16" ht="35" customHeight="1">
      <c r="A16" s="6" t="inlineStr">
        <is>
          <t>Procurement</t>
        </is>
      </c>
      <c r="B16" s="8" t="inlineStr">
        <is>
          <t>Slow; any product needing a new PO delays the pilot.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10" customWidth="1" min="3" max="3"/>
  </cols>
  <sheetData>
    <row r="1">
      <c r="A1" s="1" t="inlineStr">
        <is>
          <t>Sources (verified 2026-10-14)</t>
        </is>
      </c>
    </row>
    <row r="4">
      <c r="A4" s="5" t="inlineStr">
        <is>
          <t>#</t>
        </is>
      </c>
      <c r="B4" s="5" t="inlineStr">
        <is>
          <t>Source</t>
        </is>
      </c>
      <c r="C4" s="5" t="inlineStr">
        <is>
          <t>URL</t>
        </is>
      </c>
    </row>
    <row r="5">
      <c r="A5" s="8" t="n">
        <v>1</v>
      </c>
      <c r="B5" s="8" t="inlineStr">
        <is>
          <t>Oracle FMW Statement of Direction (14.1.2 support to 2030/2033)</t>
        </is>
      </c>
      <c r="C5" s="13" t="inlineStr">
        <is>
          <t>https://blogs.oracle.com/fusionmiddlewaresupport/oracle-fusion-middleware-statement-of-direction-is-now-available</t>
        </is>
      </c>
    </row>
    <row r="6">
      <c r="A6" s="8" t="n">
        <v>2</v>
      </c>
      <c r="B6" s="8" t="inlineStr">
        <is>
          <t>What's new in ODI 14c (14.1.2.0.0)</t>
        </is>
      </c>
      <c r="C6" s="13" t="inlineStr">
        <is>
          <t>https://docs.oracle.com/en/middleware/fusion-middleware/data-integrator/14.1.2/odiad/whats-new-oracle-data-integrator.html</t>
        </is>
      </c>
    </row>
    <row r="7">
      <c r="A7" s="8" t="n">
        <v>3</v>
      </c>
      <c r="B7" s="8" t="inlineStr">
        <is>
          <t>Oracle Data Integration products licensing information</t>
        </is>
      </c>
      <c r="C7" s="13" t="inlineStr">
        <is>
          <t>https://docs.oracle.com/en/middleware/fusion-middleware/fmwlc/data-integration-products.html</t>
        </is>
      </c>
    </row>
    <row r="8">
      <c r="A8" s="8" t="n">
        <v>4</v>
      </c>
      <c r="B8" s="8" t="inlineStr">
        <is>
          <t>ODI licensing in 2026 (list price reference)</t>
        </is>
      </c>
      <c r="C8" s="13" t="inlineStr">
        <is>
          <t>https://redresscompliance.com/oracle-data-integrator-licensing</t>
        </is>
      </c>
    </row>
    <row r="9">
      <c r="A9" s="8" t="n">
        <v>5</v>
      </c>
      <c r="B9" s="8" t="inlineStr">
        <is>
          <t>ODI GoldenGate JKM documentation</t>
        </is>
      </c>
      <c r="C9" s="13" t="inlineStr">
        <is>
          <t>https://docs.oracle.com/middleware/odi121301/odi/develop-connectivity-km/ogg.htm</t>
        </is>
      </c>
    </row>
    <row r="10">
      <c r="A10" s="8" t="n">
        <v>6</v>
      </c>
      <c r="B10" s="8" t="inlineStr">
        <is>
          <t>Oracle GoldenGate licensing (includes ADG/XStream entitlement)</t>
        </is>
      </c>
      <c r="C10" s="13" t="inlineStr">
        <is>
          <t>https://docs.oracle.com/en/middleware/goldengate/core/21.3/ogglc/oracle-goldengate-licensing-guide.pdf</t>
        </is>
      </c>
    </row>
    <row r="11">
      <c r="A11" s="8" t="n">
        <v>7</v>
      </c>
      <c r="B11" s="8" t="inlineStr">
        <is>
          <t>Informatica community: PowerCenter 10.5.x end of support</t>
        </is>
      </c>
      <c r="C11" s="13" t="inlineStr">
        <is>
          <t>https://network.informatica.com/s/question/0D5VM00000m2Kag0AE/informatica-1056</t>
        </is>
      </c>
    </row>
    <row r="12">
      <c r="A12" s="8" t="n">
        <v>8</v>
      </c>
      <c r="B12" s="8" t="inlineStr">
        <is>
          <t>Informatica: PowerCenter EoS does not apply to CDI-PC</t>
        </is>
      </c>
      <c r="C12" s="13" t="inlineStr">
        <is>
          <t>https://knowledge.informatica.com/s/article/000245032?language=en_US</t>
        </is>
      </c>
    </row>
    <row r="13">
      <c r="A13" s="8" t="n">
        <v>9</v>
      </c>
      <c r="B13" s="8" t="inlineStr">
        <is>
          <t>CDI-PC April 2026 What's New (mandatory cloud-managed updates)</t>
        </is>
      </c>
      <c r="C13" s="13" t="inlineStr">
        <is>
          <t>https://docs.informatica.com/content/dam/source/GUID-1/GUID-1A371312-AE91-482A-ABF1-D612D25A99D6/19/en/CDIPC_April2026_WhatSNew_en.pdf</t>
        </is>
      </c>
    </row>
    <row r="14">
      <c r="A14" s="8" t="n">
        <v>10</v>
      </c>
      <c r="B14" s="8" t="inlineStr">
        <is>
          <t>Salesforce completes acquisition of Informatica (18 Nov 2025)</t>
        </is>
      </c>
      <c r="C14" s="13" t="inlineStr">
        <is>
          <t>https://investor.salesforce.com/news/news-details/2025/Salesforce-Completes-Acquisition-of-Informatica/default.aspx</t>
        </is>
      </c>
    </row>
    <row r="15">
      <c r="A15" s="8" t="n">
        <v>11</v>
      </c>
      <c r="B15" s="8" t="inlineStr">
        <is>
          <t>Fivetran + dbt Labs complete merger (1 Jun 2026)</t>
        </is>
      </c>
      <c r="C15" s="13" t="inlineStr">
        <is>
          <t>https://www.getdbt.com/blog/fivetran-dbt-labs-complete-merger-to-create-the-data-infrastructure-for-trusted-ai-agents</t>
        </is>
      </c>
    </row>
    <row r="16">
      <c r="A16" s="8" t="n">
        <v>12</v>
      </c>
      <c r="B16" s="8" t="inlineStr">
        <is>
          <t>dbt licensing</t>
        </is>
      </c>
      <c r="C16" s="13" t="inlineStr">
        <is>
          <t>https://docs.getdbt.com/docs/dbt-licensing</t>
        </is>
      </c>
    </row>
    <row r="17">
      <c r="A17" s="8" t="n">
        <v>13</v>
      </c>
      <c r="B17" s="8" t="inlineStr">
        <is>
          <t>dbt Fusion adapter availability</t>
        </is>
      </c>
      <c r="C17" s="13" t="inlineStr">
        <is>
          <t>https://docs.getdbt.com/docs/fusion/fusion-availability</t>
        </is>
      </c>
    </row>
    <row r="18">
      <c r="A18" s="8" t="n">
        <v>14</v>
      </c>
      <c r="B18" s="8" t="inlineStr">
        <is>
          <t>dbt-oracle releases</t>
        </is>
      </c>
      <c r="C18" s="13" t="inlineStr">
        <is>
          <t>https://github.com/oracle/dbt-oracle/releases</t>
        </is>
      </c>
    </row>
    <row r="19">
      <c r="A19" s="8" t="n">
        <v>15</v>
      </c>
      <c r="B19" s="8" t="inlineStr">
        <is>
          <t>dbt Core support lifecycle</t>
        </is>
      </c>
      <c r="C19" s="13" t="inlineStr">
        <is>
          <t>https://endoflife.date/dbt-core</t>
        </is>
      </c>
    </row>
    <row r="20">
      <c r="A20" s="8" t="n">
        <v>16</v>
      </c>
      <c r="B20" s="8" t="inlineStr">
        <is>
          <t>Cloudera support lifecycle policy</t>
        </is>
      </c>
      <c r="C20" s="13" t="inlineStr">
        <is>
          <t>https://www.cloudera.com/services-and-support/support-lifecycle-policy.html</t>
        </is>
      </c>
    </row>
    <row r="21">
      <c r="A21" s="8" t="n">
        <v>17</v>
      </c>
      <c r="B21" s="8" t="inlineStr">
        <is>
          <t>Cloudera Base on premises 7.3.2 release summary</t>
        </is>
      </c>
      <c r="C21" s="13" t="inlineStr">
        <is>
          <t>https://docs.cloudera.com/cdp-private-cloud/latest/release-summaries/index.html</t>
        </is>
      </c>
    </row>
    <row r="22">
      <c r="A22" s="8" t="n">
        <v>18</v>
      </c>
      <c r="B22" s="8" t="inlineStr">
        <is>
          <t>Cloudera licensed metrics (CCU definition)</t>
        </is>
      </c>
      <c r="C22" s="13" t="inlineStr">
        <is>
          <t>https://www.cloudera.com/legal/commercial-terms-and-conditions/cloudera-licensed-metrics.html</t>
        </is>
      </c>
    </row>
    <row r="23">
      <c r="A23" s="8" t="n">
        <v>19</v>
      </c>
      <c r="B23" s="8" t="inlineStr">
        <is>
          <t>Apache Spark 4.2.0 release notes</t>
        </is>
      </c>
      <c r="C23" s="13" t="inlineStr">
        <is>
          <t>https://spark.apache.org/releases/spark-release-4-2-0.html</t>
        </is>
      </c>
    </row>
    <row r="24">
      <c r="A24" s="8" t="n">
        <v>20</v>
      </c>
      <c r="B24" s="8" t="inlineStr">
        <is>
          <t>Databricks: Introducing Apache Spark 4.1 (Real-time Mode)</t>
        </is>
      </c>
      <c r="C24" s="13" t="inlineStr">
        <is>
          <t>https://www.databricks.com/blog/introducing-apache-sparkr-41</t>
        </is>
      </c>
    </row>
    <row r="25">
      <c r="A25" s="8" t="n">
        <v>21</v>
      </c>
      <c r="B25" s="8" t="inlineStr">
        <is>
          <t>Debezium Oracle connector (LogMiner / XStream)</t>
        </is>
      </c>
      <c r="C25" s="13" t="inlineStr">
        <is>
          <t>https://debezium.io/documentation/reference/stable/connectors/oracle.html</t>
        </is>
      </c>
    </row>
    <row r="26">
      <c r="A26" s="8" t="n">
        <v>22</v>
      </c>
      <c r="B26" s="8" t="inlineStr">
        <is>
          <t>Oracle GoldenGate Free FAQ (limits)</t>
        </is>
      </c>
      <c r="C26" s="13" t="inlineStr">
        <is>
          <t>https://docs.oracle.com/en/middleware/goldengate/free/23/uggfe/frequently-asked-questions.html</t>
        </is>
      </c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2026-10-14T10:00:00Z</dcterms:created>
  <dcterms:modified xsi:type="dcterms:W3CDTF">2026-10-14T10:00:00Z</dcterms:modified>
</cp:coreProperties>
</file>